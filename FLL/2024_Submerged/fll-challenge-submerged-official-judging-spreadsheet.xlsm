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showInkAnnotation="0" codeName="ThisWorkbook"/>
  <mc:AlternateContent xmlns:mc="http://schemas.openxmlformats.org/markup-compatibility/2006">
    <mc:Choice Requires="x15">
      <x15ac:absPath xmlns:x15ac="http://schemas.microsoft.com/office/spreadsheetml/2010/11/ac" url="https://usfirst-my.sharepoint.com/personal/asterner_firstinspires_org/Documents/SUBMERGED/SUBMERGED Judging Toolkit/FINAL/"/>
    </mc:Choice>
  </mc:AlternateContent>
  <xr:revisionPtr revIDLastSave="91" documentId="8_{964C4FA4-ABCE-4397-B23C-D1CE03CE95FF}" xr6:coauthVersionLast="47" xr6:coauthVersionMax="47" xr10:uidLastSave="{A99CE1E7-A1F6-4490-A089-8DD43F9ABBA7}"/>
  <bookViews>
    <workbookView xWindow="-108" yWindow="-108" windowWidth="23256" windowHeight="12576" tabRatio="879" activeTab="4" xr2:uid="{00000000-000D-0000-FFFF-FFFF00000000}"/>
  </bookViews>
  <sheets>
    <sheet name="Instructions" sheetId="12" r:id="rId1"/>
    <sheet name="Team and Program Information" sheetId="7" r:id="rId2"/>
    <sheet name="Results and Rankings" sheetId="1" r:id="rId3"/>
    <sheet name="Innovation Project Input" sheetId="6" r:id="rId4"/>
    <sheet name="Robot Design Input" sheetId="4" r:id="rId5"/>
    <sheet name="Robot Game Scores" sheetId="9" r:id="rId6"/>
    <sheet name="Core Values Input" sheetId="5" r:id="rId7"/>
    <sheet name="GP Scores" sheetId="11" state="hidden" r:id="rId8"/>
    <sheet name="Area Deliberations" sheetId="10" state="hidden" r:id="rId9"/>
  </sheets>
  <definedNames>
    <definedName name="CVIPSplit" localSheetId="0">Instructions!#REF!</definedName>
    <definedName name="CVIPSplit">'Team and Program Information'!$A$14</definedName>
    <definedName name="CVRDSplit" localSheetId="0">Instructions!#REF!</definedName>
    <definedName name="CVRDSplit">'Team and Program Information'!$A$11</definedName>
    <definedName name="DynamicTeams">OFFSET('Results and Rankings'!$A$3,0,0,COUNTA('Results and Rankings'!$A$3:$A$1048576),16)</definedName>
    <definedName name="GPScores">'GP Scores'!$A:$C</definedName>
    <definedName name="NumberOfLanes" localSheetId="0">Instructions!#REF!</definedName>
    <definedName name="NumberOfLanes">'Team and Program Information'!$A$17</definedName>
    <definedName name="NumberofTeamAdvancing" localSheetId="0">Instructions!#REF!</definedName>
    <definedName name="NumberofTeamAdvancing">'Team and Program Information'!$A$8</definedName>
    <definedName name="NumberOfTeams" localSheetId="0">Instructions!#REF!</definedName>
    <definedName name="NumberOfTeams">'Team and Program Information'!$A$5</definedName>
    <definedName name="NumberofTeamsAdvancing" localSheetId="0">Instructions!#REF!</definedName>
    <definedName name="NumberofTeamsAdvancing">'Team and Program Information'!$A$8</definedName>
    <definedName name="_xlnm.Print_Area" localSheetId="6">'Core Values Input'!$A:$Y</definedName>
    <definedName name="_xlnm.Print_Area" localSheetId="2">'Results and Rankings'!$A:$AA</definedName>
    <definedName name="_xlnm.Print_Titles" localSheetId="2">'Results and Rankings'!$1:$1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5" l="1"/>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C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34" i="1"/>
  <c r="N29" i="1"/>
  <c r="N27" i="1"/>
  <c r="N32" i="1"/>
  <c r="N47" i="1"/>
  <c r="N45" i="1"/>
  <c r="N49" i="1"/>
  <c r="N30" i="1"/>
  <c r="N31" i="1"/>
  <c r="N33" i="1"/>
  <c r="N36" i="1"/>
  <c r="N42" i="1"/>
  <c r="N28" i="1"/>
  <c r="N48" i="1"/>
  <c r="N37" i="1"/>
  <c r="N46" i="1"/>
  <c r="N43" i="1"/>
  <c r="N38" i="1"/>
  <c r="N44" i="1"/>
  <c r="N39" i="1"/>
  <c r="N41" i="1"/>
  <c r="N50" i="1"/>
  <c r="N40" i="1"/>
  <c r="N35" i="1"/>
  <c r="D2" i="5"/>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2" i="9"/>
  <c r="J2" i="5"/>
  <c r="K2" i="5"/>
  <c r="L2" i="5"/>
  <c r="J3" i="5"/>
  <c r="K3" i="5"/>
  <c r="L3" i="5"/>
  <c r="J4" i="5"/>
  <c r="K4" i="5"/>
  <c r="L4" i="5"/>
  <c r="E2" i="5"/>
  <c r="F2" i="5"/>
  <c r="G2" i="5"/>
  <c r="D3" i="5"/>
  <c r="E3" i="5"/>
  <c r="F3" i="5"/>
  <c r="G3" i="5"/>
  <c r="D4" i="5"/>
  <c r="E4" i="5"/>
  <c r="F4" i="5"/>
  <c r="G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B3" i="5" l="1"/>
  <c r="R3" i="5"/>
  <c r="T3" i="5" s="1"/>
  <c r="S3" i="5"/>
  <c r="B4" i="5"/>
  <c r="R4" i="5"/>
  <c r="T4" i="5" s="1"/>
  <c r="S4" i="5"/>
  <c r="B5" i="5"/>
  <c r="R5" i="5"/>
  <c r="T5" i="5" s="1"/>
  <c r="S5" i="5"/>
  <c r="B6" i="5"/>
  <c r="R6" i="5"/>
  <c r="T6" i="5" s="1"/>
  <c r="S6" i="5"/>
  <c r="B7" i="5"/>
  <c r="R7" i="5"/>
  <c r="T7" i="5" s="1"/>
  <c r="S7" i="5"/>
  <c r="B8" i="5"/>
  <c r="R8" i="5"/>
  <c r="T8" i="5" s="1"/>
  <c r="S8" i="5"/>
  <c r="B9" i="5"/>
  <c r="R9" i="5"/>
  <c r="T9" i="5" s="1"/>
  <c r="S9" i="5"/>
  <c r="B10" i="5"/>
  <c r="R10" i="5"/>
  <c r="T10" i="5" s="1"/>
  <c r="S10" i="5"/>
  <c r="B11" i="5"/>
  <c r="R11" i="5"/>
  <c r="T11" i="5" s="1"/>
  <c r="S11" i="5"/>
  <c r="B12" i="5"/>
  <c r="R12" i="5"/>
  <c r="T12" i="5" s="1"/>
  <c r="S12" i="5"/>
  <c r="B13" i="5"/>
  <c r="R13" i="5"/>
  <c r="T13" i="5" s="1"/>
  <c r="S13" i="5"/>
  <c r="B14" i="5"/>
  <c r="R14" i="5"/>
  <c r="T14" i="5" s="1"/>
  <c r="S14" i="5"/>
  <c r="B15" i="5"/>
  <c r="R15" i="5"/>
  <c r="T15" i="5" s="1"/>
  <c r="S15" i="5"/>
  <c r="B16" i="5"/>
  <c r="R16" i="5"/>
  <c r="T16" i="5" s="1"/>
  <c r="S16" i="5"/>
  <c r="B17" i="5"/>
  <c r="R17" i="5"/>
  <c r="T17" i="5" s="1"/>
  <c r="S17" i="5"/>
  <c r="B18" i="5"/>
  <c r="R18" i="5"/>
  <c r="T18" i="5" s="1"/>
  <c r="S18" i="5"/>
  <c r="B19" i="5"/>
  <c r="R19" i="5"/>
  <c r="T19" i="5" s="1"/>
  <c r="S19" i="5"/>
  <c r="B20" i="5"/>
  <c r="R20" i="5"/>
  <c r="T20" i="5" s="1"/>
  <c r="S20" i="5"/>
  <c r="B21" i="5"/>
  <c r="R21" i="5"/>
  <c r="T21" i="5" s="1"/>
  <c r="S21" i="5"/>
  <c r="B22" i="5"/>
  <c r="R22" i="5"/>
  <c r="T22" i="5" s="1"/>
  <c r="S22" i="5"/>
  <c r="B23" i="5"/>
  <c r="R23" i="5"/>
  <c r="T23" i="5" s="1"/>
  <c r="S23" i="5"/>
  <c r="B24" i="5"/>
  <c r="R24" i="5"/>
  <c r="T24" i="5" s="1"/>
  <c r="S24" i="5"/>
  <c r="B25" i="5"/>
  <c r="R25" i="5"/>
  <c r="T25" i="5" s="1"/>
  <c r="S25" i="5"/>
  <c r="B26" i="5"/>
  <c r="R26" i="5"/>
  <c r="T26" i="5" s="1"/>
  <c r="S26" i="5"/>
  <c r="B27" i="5"/>
  <c r="R27" i="5"/>
  <c r="T27" i="5" s="1"/>
  <c r="S27" i="5"/>
  <c r="B28" i="5"/>
  <c r="R28" i="5"/>
  <c r="T28" i="5" s="1"/>
  <c r="S28" i="5"/>
  <c r="B29" i="5"/>
  <c r="R29" i="5"/>
  <c r="T29" i="5" s="1"/>
  <c r="S29" i="5"/>
  <c r="B30" i="5"/>
  <c r="R30" i="5"/>
  <c r="T30" i="5" s="1"/>
  <c r="S30" i="5"/>
  <c r="B31" i="5"/>
  <c r="R31" i="5"/>
  <c r="T31" i="5" s="1"/>
  <c r="S31" i="5"/>
  <c r="B32" i="5"/>
  <c r="R32" i="5"/>
  <c r="T32" i="5" s="1"/>
  <c r="S32" i="5"/>
  <c r="B33" i="5"/>
  <c r="R33" i="5"/>
  <c r="T33" i="5" s="1"/>
  <c r="S33" i="5"/>
  <c r="B34" i="5"/>
  <c r="R34" i="5"/>
  <c r="T34" i="5" s="1"/>
  <c r="S34" i="5"/>
  <c r="B35" i="5"/>
  <c r="R35" i="5"/>
  <c r="T35" i="5" s="1"/>
  <c r="S35" i="5"/>
  <c r="B36" i="5"/>
  <c r="R36" i="5"/>
  <c r="T36" i="5" s="1"/>
  <c r="S36" i="5"/>
  <c r="B37" i="5"/>
  <c r="R37" i="5"/>
  <c r="T37" i="5" s="1"/>
  <c r="S37" i="5"/>
  <c r="B38" i="5"/>
  <c r="R38" i="5"/>
  <c r="T38" i="5" s="1"/>
  <c r="S38" i="5"/>
  <c r="B39" i="5"/>
  <c r="R39" i="5"/>
  <c r="T39" i="5" s="1"/>
  <c r="S39" i="5"/>
  <c r="B40" i="5"/>
  <c r="R40" i="5"/>
  <c r="T40" i="5" s="1"/>
  <c r="S40" i="5"/>
  <c r="B41" i="5"/>
  <c r="R41" i="5"/>
  <c r="T41" i="5" s="1"/>
  <c r="S41" i="5"/>
  <c r="B42" i="5"/>
  <c r="R42" i="5"/>
  <c r="T42" i="5" s="1"/>
  <c r="S42" i="5"/>
  <c r="B43" i="5"/>
  <c r="R43" i="5"/>
  <c r="T43" i="5" s="1"/>
  <c r="S43" i="5"/>
  <c r="B44" i="5"/>
  <c r="R44" i="5"/>
  <c r="T44" i="5" s="1"/>
  <c r="S44" i="5"/>
  <c r="B45" i="5"/>
  <c r="R45" i="5"/>
  <c r="T45" i="5" s="1"/>
  <c r="S45" i="5"/>
  <c r="B46" i="5"/>
  <c r="R46" i="5"/>
  <c r="T46" i="5" s="1"/>
  <c r="S46" i="5"/>
  <c r="B47" i="5"/>
  <c r="R47" i="5"/>
  <c r="T47" i="5" s="1"/>
  <c r="S47" i="5"/>
  <c r="B48" i="5"/>
  <c r="R48" i="5"/>
  <c r="T48" i="5" s="1"/>
  <c r="S48" i="5"/>
  <c r="B49" i="5"/>
  <c r="R49" i="5"/>
  <c r="T49" i="5" s="1"/>
  <c r="S49" i="5"/>
  <c r="B50" i="5"/>
  <c r="R50" i="5"/>
  <c r="T50" i="5" s="1"/>
  <c r="S50" i="5"/>
  <c r="B51" i="5"/>
  <c r="R51" i="5"/>
  <c r="T51" i="5" s="1"/>
  <c r="S51" i="5"/>
  <c r="B52" i="5"/>
  <c r="R52" i="5"/>
  <c r="T52" i="5" s="1"/>
  <c r="S52" i="5"/>
  <c r="B53" i="5"/>
  <c r="R53" i="5"/>
  <c r="T53" i="5" s="1"/>
  <c r="S53" i="5"/>
  <c r="B54" i="5"/>
  <c r="R54" i="5"/>
  <c r="T54" i="5" s="1"/>
  <c r="S54" i="5"/>
  <c r="B55" i="5"/>
  <c r="R55" i="5"/>
  <c r="T55" i="5" s="1"/>
  <c r="S55" i="5"/>
  <c r="B56" i="5"/>
  <c r="R56" i="5"/>
  <c r="T56" i="5" s="1"/>
  <c r="S56" i="5"/>
  <c r="B57" i="5"/>
  <c r="R57" i="5"/>
  <c r="T57" i="5" s="1"/>
  <c r="S57" i="5"/>
  <c r="B58" i="5"/>
  <c r="R58" i="5"/>
  <c r="T58" i="5" s="1"/>
  <c r="S58" i="5"/>
  <c r="B59" i="5"/>
  <c r="R59" i="5"/>
  <c r="T59" i="5" s="1"/>
  <c r="S59" i="5"/>
  <c r="B60" i="5"/>
  <c r="R60" i="5"/>
  <c r="T60" i="5" s="1"/>
  <c r="S60" i="5"/>
  <c r="B61" i="5"/>
  <c r="R61" i="5"/>
  <c r="T61" i="5" s="1"/>
  <c r="S61" i="5"/>
  <c r="B62" i="5"/>
  <c r="R62" i="5"/>
  <c r="T62" i="5" s="1"/>
  <c r="S62" i="5"/>
  <c r="B63" i="5"/>
  <c r="R63" i="5"/>
  <c r="T63" i="5" s="1"/>
  <c r="S63" i="5"/>
  <c r="B64" i="5"/>
  <c r="R64" i="5"/>
  <c r="T64" i="5" s="1"/>
  <c r="S64" i="5"/>
  <c r="B65" i="5"/>
  <c r="R65" i="5"/>
  <c r="T65" i="5" s="1"/>
  <c r="S65" i="5"/>
  <c r="B66" i="5"/>
  <c r="R66" i="5"/>
  <c r="T66" i="5" s="1"/>
  <c r="S66" i="5"/>
  <c r="B67" i="5"/>
  <c r="R67" i="5"/>
  <c r="T67" i="5" s="1"/>
  <c r="S67" i="5"/>
  <c r="B68" i="5"/>
  <c r="R68" i="5"/>
  <c r="T68" i="5" s="1"/>
  <c r="S68" i="5"/>
  <c r="B69" i="5"/>
  <c r="R69" i="5"/>
  <c r="T69" i="5" s="1"/>
  <c r="S69" i="5"/>
  <c r="B70" i="5"/>
  <c r="R70" i="5"/>
  <c r="T70" i="5" s="1"/>
  <c r="S70" i="5"/>
  <c r="B71" i="5"/>
  <c r="R71" i="5"/>
  <c r="T71" i="5" s="1"/>
  <c r="S71" i="5"/>
  <c r="B72" i="5"/>
  <c r="R72" i="5"/>
  <c r="T72" i="5" s="1"/>
  <c r="S72" i="5"/>
  <c r="B73" i="5"/>
  <c r="R73" i="5"/>
  <c r="T73" i="5" s="1"/>
  <c r="S73" i="5"/>
  <c r="B74" i="5"/>
  <c r="R74" i="5"/>
  <c r="T74" i="5" s="1"/>
  <c r="S74" i="5"/>
  <c r="B75" i="5"/>
  <c r="R75" i="5"/>
  <c r="T75" i="5" s="1"/>
  <c r="S75" i="5"/>
  <c r="B76" i="5"/>
  <c r="R76" i="5"/>
  <c r="T76" i="5" s="1"/>
  <c r="S76" i="5"/>
  <c r="B77" i="5"/>
  <c r="R77" i="5"/>
  <c r="T77" i="5" s="1"/>
  <c r="S77" i="5"/>
  <c r="B78" i="5"/>
  <c r="R78" i="5"/>
  <c r="T78" i="5" s="1"/>
  <c r="S78" i="5"/>
  <c r="B79" i="5"/>
  <c r="R79" i="5"/>
  <c r="T79" i="5" s="1"/>
  <c r="S79" i="5"/>
  <c r="B80" i="5"/>
  <c r="R80" i="5"/>
  <c r="T80" i="5" s="1"/>
  <c r="S80" i="5"/>
  <c r="B81" i="5"/>
  <c r="R81" i="5"/>
  <c r="T81" i="5" s="1"/>
  <c r="S81" i="5"/>
  <c r="B82" i="5"/>
  <c r="R82" i="5"/>
  <c r="T82" i="5" s="1"/>
  <c r="S82" i="5"/>
  <c r="B83" i="5"/>
  <c r="R83" i="5"/>
  <c r="T83" i="5" s="1"/>
  <c r="S83" i="5"/>
  <c r="B84" i="5"/>
  <c r="R84" i="5"/>
  <c r="T84" i="5" s="1"/>
  <c r="S84" i="5"/>
  <c r="B85" i="5"/>
  <c r="R85" i="5"/>
  <c r="T85" i="5" s="1"/>
  <c r="S85" i="5"/>
  <c r="B86" i="5"/>
  <c r="R86" i="5"/>
  <c r="T86" i="5" s="1"/>
  <c r="S86" i="5"/>
  <c r="B87" i="5"/>
  <c r="R87" i="5"/>
  <c r="T87" i="5" s="1"/>
  <c r="S87" i="5"/>
  <c r="B88" i="5"/>
  <c r="R88" i="5"/>
  <c r="T88" i="5" s="1"/>
  <c r="S88" i="5"/>
  <c r="B89" i="5"/>
  <c r="R89" i="5"/>
  <c r="T89" i="5" s="1"/>
  <c r="S89" i="5"/>
  <c r="B90" i="5"/>
  <c r="R90" i="5"/>
  <c r="T90" i="5" s="1"/>
  <c r="S90" i="5"/>
  <c r="B91" i="5"/>
  <c r="R91" i="5"/>
  <c r="T91" i="5" s="1"/>
  <c r="S91" i="5"/>
  <c r="B92" i="5"/>
  <c r="R92" i="5"/>
  <c r="T92" i="5" s="1"/>
  <c r="S92" i="5"/>
  <c r="B93" i="5"/>
  <c r="R93" i="5"/>
  <c r="T93" i="5" s="1"/>
  <c r="S93" i="5"/>
  <c r="B94" i="5"/>
  <c r="R94" i="5"/>
  <c r="T94" i="5" s="1"/>
  <c r="S94" i="5"/>
  <c r="B95" i="5"/>
  <c r="R95" i="5"/>
  <c r="T95" i="5" s="1"/>
  <c r="S95" i="5"/>
  <c r="B96" i="5"/>
  <c r="R96" i="5"/>
  <c r="T96" i="5" s="1"/>
  <c r="S96" i="5"/>
  <c r="B97" i="5"/>
  <c r="R97" i="5"/>
  <c r="T97" i="5" s="1"/>
  <c r="S97" i="5"/>
  <c r="B98" i="5"/>
  <c r="R98" i="5"/>
  <c r="T98" i="5" s="1"/>
  <c r="S98" i="5"/>
  <c r="B99" i="5"/>
  <c r="R99" i="5"/>
  <c r="T99" i="5" s="1"/>
  <c r="S99" i="5"/>
  <c r="B100" i="5"/>
  <c r="R100" i="5"/>
  <c r="T100" i="5" s="1"/>
  <c r="S100" i="5"/>
  <c r="B101" i="5"/>
  <c r="R101" i="5"/>
  <c r="T101" i="5" s="1"/>
  <c r="S101" i="5"/>
  <c r="B102" i="5"/>
  <c r="R102" i="5"/>
  <c r="T102" i="5" s="1"/>
  <c r="S102" i="5"/>
  <c r="B103" i="5"/>
  <c r="R103" i="5"/>
  <c r="T103" i="5" s="1"/>
  <c r="S103" i="5"/>
  <c r="B104" i="5"/>
  <c r="R104" i="5"/>
  <c r="T104" i="5" s="1"/>
  <c r="S104" i="5"/>
  <c r="B105" i="5"/>
  <c r="R105" i="5"/>
  <c r="T105" i="5" s="1"/>
  <c r="S105" i="5"/>
  <c r="B106" i="5"/>
  <c r="R106" i="5"/>
  <c r="T106" i="5" s="1"/>
  <c r="S106" i="5"/>
  <c r="B107" i="5"/>
  <c r="R107" i="5"/>
  <c r="T107" i="5" s="1"/>
  <c r="S107" i="5"/>
  <c r="B108" i="5"/>
  <c r="R108" i="5"/>
  <c r="T108" i="5" s="1"/>
  <c r="S108" i="5"/>
  <c r="B109" i="5"/>
  <c r="R109" i="5"/>
  <c r="T109" i="5" s="1"/>
  <c r="S109" i="5"/>
  <c r="B2" i="4" l="1"/>
  <c r="B3" i="4"/>
  <c r="B2" i="6"/>
  <c r="B3" i="6"/>
  <c r="B2" i="5"/>
  <c r="B3" i="1"/>
  <c r="B4" i="1"/>
  <c r="B5"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3" i="1"/>
  <c r="U86" i="5" l="1"/>
  <c r="U78" i="5"/>
  <c r="U74" i="5"/>
  <c r="U66" i="5"/>
  <c r="U58" i="5"/>
  <c r="U50" i="5"/>
  <c r="U35" i="5"/>
  <c r="U31" i="5"/>
  <c r="U23" i="5"/>
  <c r="U15" i="5"/>
  <c r="U7" i="5"/>
  <c r="U85" i="5"/>
  <c r="U77" i="5"/>
  <c r="U69" i="5"/>
  <c r="U61" i="5"/>
  <c r="U53" i="5"/>
  <c r="U45" i="5"/>
  <c r="U42" i="5"/>
  <c r="U34" i="5"/>
  <c r="U26" i="5"/>
  <c r="U18" i="5"/>
  <c r="U10" i="5"/>
  <c r="U60" i="5"/>
  <c r="U56" i="5"/>
  <c r="U52" i="5"/>
  <c r="U48" i="5"/>
  <c r="U44" i="5"/>
  <c r="U41" i="5"/>
  <c r="U37" i="5"/>
  <c r="U21" i="5"/>
  <c r="U17" i="5"/>
  <c r="U9" i="5"/>
  <c r="U82" i="5"/>
  <c r="U70" i="5"/>
  <c r="U62" i="5"/>
  <c r="U54" i="5"/>
  <c r="U46" i="5"/>
  <c r="U39" i="5"/>
  <c r="U27" i="5"/>
  <c r="U19" i="5"/>
  <c r="U11" i="5"/>
  <c r="U4" i="5"/>
  <c r="U81" i="5"/>
  <c r="U73" i="5"/>
  <c r="U65" i="5"/>
  <c r="U57" i="5"/>
  <c r="U49" i="5"/>
  <c r="U38" i="5"/>
  <c r="U30" i="5"/>
  <c r="U22" i="5"/>
  <c r="U14" i="5"/>
  <c r="U6" i="5"/>
  <c r="U106" i="5"/>
  <c r="U87" i="5"/>
  <c r="U83" i="5"/>
  <c r="U79" i="5"/>
  <c r="U75" i="5"/>
  <c r="U71" i="5"/>
  <c r="U67" i="5"/>
  <c r="U63" i="5"/>
  <c r="U59" i="5"/>
  <c r="U55" i="5"/>
  <c r="U51" i="5"/>
  <c r="U47" i="5"/>
  <c r="U43" i="5"/>
  <c r="U40" i="5"/>
  <c r="U36" i="5"/>
  <c r="U32" i="5"/>
  <c r="U28" i="5"/>
  <c r="U24" i="5"/>
  <c r="U20" i="5"/>
  <c r="U16" i="5"/>
  <c r="U12" i="5"/>
  <c r="U8" i="5"/>
  <c r="U5" i="5"/>
  <c r="R2" i="5"/>
  <c r="S2" i="5"/>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C3" i="1"/>
  <c r="C4" i="1"/>
  <c r="C5" i="1"/>
  <c r="C6" i="1"/>
  <c r="H6" i="1" s="1"/>
  <c r="C7" i="1"/>
  <c r="H7" i="1" s="1"/>
  <c r="C8" i="1"/>
  <c r="H8" i="1" s="1"/>
  <c r="C9" i="1"/>
  <c r="H9" i="1" s="1"/>
  <c r="C10" i="1"/>
  <c r="H10" i="1" s="1"/>
  <c r="C11" i="1"/>
  <c r="H11" i="1" s="1"/>
  <c r="C12" i="1"/>
  <c r="H12" i="1" s="1"/>
  <c r="C13" i="1"/>
  <c r="H13" i="1" s="1"/>
  <c r="C14" i="1"/>
  <c r="H14" i="1" s="1"/>
  <c r="C15" i="1"/>
  <c r="H15" i="1" s="1"/>
  <c r="C16" i="1"/>
  <c r="H16" i="1" s="1"/>
  <c r="C17" i="1"/>
  <c r="H17" i="1" s="1"/>
  <c r="C18" i="1"/>
  <c r="H18" i="1" s="1"/>
  <c r="C19" i="1"/>
  <c r="C20" i="1"/>
  <c r="H20" i="1" s="1"/>
  <c r="C21" i="1"/>
  <c r="C22" i="1"/>
  <c r="H22" i="1" s="1"/>
  <c r="C23" i="1"/>
  <c r="H23" i="1" s="1"/>
  <c r="C24" i="1"/>
  <c r="H24" i="1" s="1"/>
  <c r="C25" i="1"/>
  <c r="H25" i="1" s="1"/>
  <c r="C26" i="1"/>
  <c r="H26" i="1" s="1"/>
  <c r="C27" i="1"/>
  <c r="H27" i="1" s="1"/>
  <c r="C28" i="1"/>
  <c r="H28" i="1" s="1"/>
  <c r="C29" i="1"/>
  <c r="H29" i="1" s="1"/>
  <c r="C30" i="1"/>
  <c r="C31" i="1"/>
  <c r="H31" i="1" s="1"/>
  <c r="C32" i="1"/>
  <c r="H32" i="1" s="1"/>
  <c r="C33" i="1"/>
  <c r="H33" i="1" s="1"/>
  <c r="C34" i="1"/>
  <c r="H34" i="1" s="1"/>
  <c r="C35" i="1"/>
  <c r="H35" i="1" s="1"/>
  <c r="C36" i="1"/>
  <c r="H36" i="1" s="1"/>
  <c r="C37" i="1"/>
  <c r="H37" i="1" s="1"/>
  <c r="C38" i="1"/>
  <c r="H38" i="1" s="1"/>
  <c r="C39" i="1"/>
  <c r="H39" i="1" s="1"/>
  <c r="C40" i="1"/>
  <c r="H40" i="1" s="1"/>
  <c r="C41" i="1"/>
  <c r="H41" i="1" s="1"/>
  <c r="C42" i="1"/>
  <c r="H42" i="1" s="1"/>
  <c r="C43" i="1"/>
  <c r="H43" i="1" s="1"/>
  <c r="C44" i="1"/>
  <c r="H44" i="1" s="1"/>
  <c r="C45" i="1"/>
  <c r="H45" i="1" s="1"/>
  <c r="C46" i="1"/>
  <c r="C47" i="1"/>
  <c r="H47" i="1" s="1"/>
  <c r="C48" i="1"/>
  <c r="H48" i="1" s="1"/>
  <c r="C49" i="1"/>
  <c r="H49" i="1" s="1"/>
  <c r="C50" i="1"/>
  <c r="H50" i="1" s="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T2" i="5" l="1"/>
  <c r="U2" i="5" s="1"/>
  <c r="H4" i="1"/>
  <c r="H5" i="1"/>
  <c r="H3" i="1"/>
  <c r="H46" i="1"/>
  <c r="H21" i="1"/>
  <c r="H19" i="1"/>
  <c r="H30" i="1"/>
  <c r="U107" i="5"/>
  <c r="U92" i="5"/>
  <c r="U99" i="5"/>
  <c r="U68" i="5"/>
  <c r="U90" i="5"/>
  <c r="U33" i="5"/>
  <c r="U101" i="5"/>
  <c r="U98" i="5"/>
  <c r="U95" i="5"/>
  <c r="U103" i="5"/>
  <c r="U108" i="5"/>
  <c r="U102" i="5"/>
  <c r="U64" i="5"/>
  <c r="U88" i="5"/>
  <c r="U104" i="5"/>
  <c r="U91" i="5"/>
  <c r="U13" i="5"/>
  <c r="U93" i="5"/>
  <c r="U109" i="5"/>
  <c r="U100" i="5"/>
  <c r="U96" i="5"/>
  <c r="U72" i="5"/>
  <c r="U76" i="5"/>
  <c r="U89" i="5"/>
  <c r="U97" i="5"/>
  <c r="U105" i="5"/>
  <c r="U25" i="5"/>
  <c r="U84" i="5"/>
  <c r="U94" i="5"/>
  <c r="U80" i="5"/>
  <c r="U29" i="5"/>
  <c r="U3" i="5"/>
  <c r="I46" i="1" l="1"/>
  <c r="I30" i="1"/>
  <c r="I43" i="1"/>
  <c r="I21" i="1"/>
  <c r="I25" i="1"/>
  <c r="I33" i="1"/>
  <c r="I14" i="1"/>
  <c r="I18" i="1"/>
  <c r="I22" i="1"/>
  <c r="I13" i="1"/>
  <c r="I19" i="1"/>
  <c r="I3" i="1"/>
  <c r="I11" i="1"/>
  <c r="I5" i="1"/>
  <c r="I50" i="1"/>
  <c r="I26" i="1"/>
  <c r="I39" i="1"/>
  <c r="I6" i="1"/>
  <c r="I20" i="1"/>
  <c r="I45" i="1"/>
  <c r="I16" i="1"/>
  <c r="I10" i="1"/>
  <c r="I7" i="1"/>
  <c r="I36" i="1"/>
  <c r="I23" i="1"/>
  <c r="I17" i="1"/>
  <c r="I34" i="1"/>
  <c r="I15" i="1"/>
  <c r="I24" i="1"/>
  <c r="I49" i="1"/>
  <c r="I8" i="1"/>
  <c r="I35" i="1"/>
  <c r="I29" i="1"/>
  <c r="I37" i="1"/>
  <c r="I27" i="1"/>
  <c r="I42" i="1"/>
  <c r="I48" i="1"/>
  <c r="I31" i="1"/>
  <c r="I47" i="1"/>
  <c r="I41" i="1"/>
  <c r="I38" i="1"/>
  <c r="I44" i="1"/>
  <c r="I28" i="1"/>
  <c r="I40" i="1"/>
  <c r="I4" i="1"/>
  <c r="I12" i="1"/>
  <c r="I32" i="1"/>
  <c r="I9" i="1"/>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O17" i="1" l="1"/>
  <c r="AA1" i="1" l="1"/>
  <c r="Q17" i="1" l="1"/>
  <c r="Q25" i="1"/>
  <c r="Q55" i="1"/>
  <c r="Q21" i="1"/>
  <c r="Q39" i="1"/>
  <c r="Q48" i="1"/>
  <c r="Q37" i="1"/>
  <c r="Q13" i="1"/>
  <c r="Q42" i="1"/>
  <c r="Q31" i="1"/>
  <c r="Q47" i="1"/>
  <c r="Q3" i="1"/>
  <c r="Q38" i="1"/>
  <c r="Q23" i="1"/>
  <c r="Q45" i="1"/>
  <c r="Q12" i="1"/>
  <c r="Q54" i="1"/>
  <c r="Q11" i="1"/>
  <c r="Q50" i="1"/>
  <c r="Q14" i="1"/>
  <c r="Q57" i="1"/>
  <c r="Q10" i="1"/>
  <c r="Q32" i="1"/>
  <c r="Q18" i="1"/>
  <c r="Q53" i="1"/>
  <c r="Q8" i="1"/>
  <c r="Q34" i="1"/>
  <c r="Q40" i="1"/>
  <c r="Q51" i="1"/>
  <c r="Q9" i="1"/>
  <c r="Q56" i="1"/>
  <c r="Q7" i="1"/>
  <c r="Q41" i="1"/>
  <c r="Q22" i="1"/>
  <c r="Q43" i="1"/>
  <c r="Q33" i="1"/>
  <c r="Q61" i="1"/>
  <c r="Q19" i="1"/>
  <c r="Q59" i="1"/>
  <c r="Q5" i="1"/>
  <c r="Q27" i="1"/>
  <c r="Q20" i="1"/>
  <c r="Q62" i="1"/>
  <c r="Q24" i="1"/>
  <c r="Q58" i="1"/>
  <c r="Q6" i="1"/>
  <c r="Q60" i="1"/>
  <c r="Q29" i="1"/>
  <c r="Q35" i="1"/>
  <c r="Q26" i="1"/>
  <c r="Q49" i="1"/>
  <c r="Q15" i="1"/>
  <c r="Q44" i="1"/>
  <c r="Q46" i="1"/>
  <c r="Q36" i="1"/>
  <c r="Q30" i="1"/>
  <c r="Q4" i="1"/>
  <c r="Q16" i="1"/>
  <c r="Q5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28" i="1"/>
  <c r="P17" i="1"/>
  <c r="P25" i="1"/>
  <c r="P55" i="1"/>
  <c r="P21" i="1"/>
  <c r="P39" i="1"/>
  <c r="P48" i="1"/>
  <c r="P37" i="1"/>
  <c r="P13" i="1"/>
  <c r="P42" i="1"/>
  <c r="P31" i="1"/>
  <c r="P47" i="1"/>
  <c r="P3" i="1"/>
  <c r="P38" i="1"/>
  <c r="P23" i="1"/>
  <c r="P45" i="1"/>
  <c r="P12" i="1"/>
  <c r="P54" i="1"/>
  <c r="P11" i="1"/>
  <c r="P50" i="1"/>
  <c r="P14" i="1"/>
  <c r="P57" i="1"/>
  <c r="P10" i="1"/>
  <c r="P32" i="1"/>
  <c r="P18" i="1"/>
  <c r="P53" i="1"/>
  <c r="P8" i="1"/>
  <c r="P34" i="1"/>
  <c r="P40" i="1"/>
  <c r="P51" i="1"/>
  <c r="P9" i="1"/>
  <c r="P56" i="1"/>
  <c r="P7" i="1"/>
  <c r="P41" i="1"/>
  <c r="P22" i="1"/>
  <c r="P43" i="1"/>
  <c r="P33" i="1"/>
  <c r="P61" i="1"/>
  <c r="P19" i="1"/>
  <c r="P59" i="1"/>
  <c r="P5" i="1"/>
  <c r="P27" i="1"/>
  <c r="P20" i="1"/>
  <c r="P62" i="1"/>
  <c r="P24" i="1"/>
  <c r="P58" i="1"/>
  <c r="P6" i="1"/>
  <c r="P60" i="1"/>
  <c r="P29" i="1"/>
  <c r="P35" i="1"/>
  <c r="P26" i="1"/>
  <c r="P49" i="1"/>
  <c r="P15" i="1"/>
  <c r="P44" i="1"/>
  <c r="P46" i="1"/>
  <c r="P36" i="1"/>
  <c r="P30" i="1"/>
  <c r="P4" i="1"/>
  <c r="P16" i="1"/>
  <c r="P5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28" i="1"/>
  <c r="O25" i="1"/>
  <c r="O55" i="1"/>
  <c r="O21" i="1"/>
  <c r="O39" i="1"/>
  <c r="O48" i="1"/>
  <c r="O37" i="1"/>
  <c r="O13" i="1"/>
  <c r="O42" i="1"/>
  <c r="O31" i="1"/>
  <c r="O47" i="1"/>
  <c r="O3" i="1"/>
  <c r="O38" i="1"/>
  <c r="O23" i="1"/>
  <c r="O45" i="1"/>
  <c r="O12" i="1"/>
  <c r="O54" i="1"/>
  <c r="O11" i="1"/>
  <c r="O50" i="1"/>
  <c r="O14" i="1"/>
  <c r="O57" i="1"/>
  <c r="O10" i="1"/>
  <c r="O32" i="1"/>
  <c r="O18" i="1"/>
  <c r="O53" i="1"/>
  <c r="O8" i="1"/>
  <c r="O34" i="1"/>
  <c r="O40" i="1"/>
  <c r="O51" i="1"/>
  <c r="O9" i="1"/>
  <c r="O56" i="1"/>
  <c r="O7" i="1"/>
  <c r="O41" i="1"/>
  <c r="O22" i="1"/>
  <c r="O43" i="1"/>
  <c r="O33" i="1"/>
  <c r="O61" i="1"/>
  <c r="O19" i="1"/>
  <c r="O59" i="1"/>
  <c r="O5" i="1"/>
  <c r="O27" i="1"/>
  <c r="O20" i="1"/>
  <c r="O62" i="1"/>
  <c r="O24" i="1"/>
  <c r="O58" i="1"/>
  <c r="O6" i="1"/>
  <c r="O60" i="1"/>
  <c r="O29" i="1"/>
  <c r="O35" i="1"/>
  <c r="O26" i="1"/>
  <c r="O49" i="1"/>
  <c r="O15" i="1"/>
  <c r="O44" i="1"/>
  <c r="O46" i="1"/>
  <c r="O36" i="1"/>
  <c r="O30" i="1"/>
  <c r="O4" i="1"/>
  <c r="O16" i="1"/>
  <c r="O5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28" i="1"/>
  <c r="O2" i="6" l="1"/>
  <c r="O3" i="6"/>
  <c r="O4" i="6"/>
  <c r="O5" i="6"/>
  <c r="O6" i="6"/>
  <c r="O7" i="6"/>
  <c r="O8" i="6"/>
  <c r="O9" i="6"/>
  <c r="O10" i="6"/>
  <c r="O11" i="6"/>
  <c r="O12" i="6"/>
  <c r="O13" i="6"/>
  <c r="O15" i="6"/>
  <c r="O14" i="6"/>
  <c r="O16" i="6"/>
  <c r="O17" i="6"/>
  <c r="O18" i="6"/>
  <c r="O19" i="6"/>
  <c r="O21" i="6"/>
  <c r="O20" i="6"/>
  <c r="O22" i="6"/>
  <c r="O23" i="6"/>
  <c r="O25" i="6"/>
  <c r="O24" i="6"/>
  <c r="O27" i="6"/>
  <c r="O26" i="6"/>
  <c r="O28" i="6"/>
  <c r="O29" i="6"/>
  <c r="O31" i="6"/>
  <c r="O30" i="6"/>
  <c r="O33" i="6"/>
  <c r="O32" i="6"/>
  <c r="O34" i="6"/>
  <c r="O35" i="6"/>
  <c r="O37" i="6"/>
  <c r="O36" i="6"/>
  <c r="O38" i="6"/>
  <c r="O39" i="6"/>
  <c r="O41" i="6"/>
  <c r="O40" i="6"/>
  <c r="O42" i="6"/>
  <c r="O43" i="6"/>
  <c r="O44" i="6"/>
  <c r="O45" i="6"/>
  <c r="O47" i="6"/>
  <c r="O46" i="6"/>
  <c r="O49" i="6"/>
  <c r="O48" i="6"/>
  <c r="O51" i="6"/>
  <c r="O50" i="6"/>
  <c r="O52" i="6"/>
  <c r="O53" i="6"/>
  <c r="O55" i="6"/>
  <c r="O54" i="6"/>
  <c r="O56" i="6"/>
  <c r="O57" i="6"/>
  <c r="O58" i="6"/>
  <c r="O59" i="6"/>
  <c r="O60" i="6"/>
  <c r="O61" i="6"/>
  <c r="U110" i="1" l="1"/>
  <c r="V110" i="1"/>
  <c r="W110"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X110" i="1" l="1"/>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U52" i="1" l="1"/>
  <c r="U60" i="1"/>
  <c r="U62" i="1"/>
  <c r="U43" i="1"/>
  <c r="U56" i="1"/>
  <c r="U34" i="1"/>
  <c r="U32" i="1"/>
  <c r="U50" i="1"/>
  <c r="U36" i="1"/>
  <c r="U49" i="1"/>
  <c r="U59" i="1"/>
  <c r="U16" i="1"/>
  <c r="U46" i="1"/>
  <c r="U26" i="1"/>
  <c r="U6" i="1"/>
  <c r="U20" i="1"/>
  <c r="U19" i="1"/>
  <c r="U22" i="1"/>
  <c r="U9" i="1"/>
  <c r="U8" i="1"/>
  <c r="U10" i="1"/>
  <c r="U11" i="1"/>
  <c r="U4" i="1"/>
  <c r="U44" i="1"/>
  <c r="U35" i="1"/>
  <c r="U58" i="1"/>
  <c r="U27" i="1"/>
  <c r="U61" i="1"/>
  <c r="U41" i="1"/>
  <c r="U51" i="1"/>
  <c r="U53" i="1"/>
  <c r="U57" i="1"/>
  <c r="U30" i="1"/>
  <c r="U15" i="1"/>
  <c r="U29" i="1"/>
  <c r="U24" i="1"/>
  <c r="U5" i="1"/>
  <c r="U33" i="1"/>
  <c r="U7" i="1"/>
  <c r="U40" i="1"/>
  <c r="U18" i="1"/>
  <c r="U14" i="1"/>
  <c r="U54" i="1"/>
  <c r="U13" i="1"/>
  <c r="U45" i="1"/>
  <c r="U25" i="1"/>
  <c r="U23" i="1"/>
  <c r="U38" i="1"/>
  <c r="U37" i="1"/>
  <c r="U3" i="1"/>
  <c r="U48" i="1"/>
  <c r="U47" i="1"/>
  <c r="U39" i="1"/>
  <c r="U28" i="1"/>
  <c r="U17" i="1"/>
  <c r="U31" i="1"/>
  <c r="U21" i="1"/>
  <c r="U12" i="1"/>
  <c r="U42" i="1"/>
  <c r="U55" i="1"/>
  <c r="X106" i="1" l="1"/>
  <c r="X82" i="1"/>
  <c r="X74" i="1"/>
  <c r="X66" i="1"/>
  <c r="X90" i="1"/>
  <c r="X86" i="1"/>
  <c r="X109" i="1"/>
  <c r="X89" i="1"/>
  <c r="X81" i="1"/>
  <c r="X73" i="1"/>
  <c r="X65" i="1"/>
  <c r="X98" i="1"/>
  <c r="X78" i="1"/>
  <c r="X105" i="1"/>
  <c r="X97" i="1"/>
  <c r="X85" i="1"/>
  <c r="X77" i="1"/>
  <c r="X69" i="1"/>
  <c r="X108" i="1"/>
  <c r="X104" i="1"/>
  <c r="X100" i="1"/>
  <c r="X96" i="1"/>
  <c r="X92" i="1"/>
  <c r="X88" i="1"/>
  <c r="X84" i="1"/>
  <c r="X80" i="1"/>
  <c r="X76" i="1"/>
  <c r="X72" i="1"/>
  <c r="X68" i="1"/>
  <c r="X64" i="1"/>
  <c r="X101" i="1"/>
  <c r="X93" i="1"/>
  <c r="X102" i="1"/>
  <c r="X94" i="1"/>
  <c r="X70" i="1"/>
  <c r="X107" i="1"/>
  <c r="X83" i="1"/>
  <c r="X75" i="1"/>
  <c r="X103" i="1"/>
  <c r="X99" i="1"/>
  <c r="X91" i="1"/>
  <c r="X67" i="1"/>
  <c r="X95" i="1"/>
  <c r="X87" i="1"/>
  <c r="X79" i="1"/>
  <c r="X71" i="1"/>
  <c r="X63" i="1"/>
  <c r="B4" i="4"/>
  <c r="B19" i="4"/>
  <c r="B13" i="4"/>
  <c r="B8" i="4"/>
  <c r="B12" i="4"/>
  <c r="B5" i="4"/>
  <c r="B18" i="4"/>
  <c r="B24" i="4"/>
  <c r="B25" i="4"/>
  <c r="B31" i="4"/>
  <c r="B30" i="4"/>
  <c r="B37" i="4"/>
  <c r="B36" i="4"/>
  <c r="B43" i="4"/>
  <c r="B42" i="4"/>
  <c r="B48" i="4"/>
  <c r="B49" i="4"/>
  <c r="B55" i="4"/>
  <c r="B54" i="4"/>
  <c r="B58" i="4"/>
  <c r="B59" i="4"/>
  <c r="B60" i="4"/>
  <c r="B5" i="6"/>
  <c r="B12" i="6"/>
  <c r="B8" i="6"/>
  <c r="B13" i="6"/>
  <c r="B19" i="6"/>
  <c r="B4" i="6"/>
  <c r="B18" i="6"/>
  <c r="B25" i="6"/>
  <c r="B24" i="6"/>
  <c r="B31" i="6"/>
  <c r="B30" i="6"/>
  <c r="B37" i="6"/>
  <c r="B36" i="6"/>
  <c r="B42" i="6"/>
  <c r="B43" i="6"/>
  <c r="B49" i="6"/>
  <c r="B48" i="6"/>
  <c r="B55" i="6"/>
  <c r="B54" i="6"/>
  <c r="B58" i="6"/>
  <c r="B59" i="6"/>
  <c r="B60" i="6"/>
  <c r="W17" i="1" l="1"/>
  <c r="V15" i="1"/>
  <c r="V56" i="1"/>
  <c r="V9" i="1" l="1"/>
  <c r="V48" i="1"/>
  <c r="V44" i="1"/>
  <c r="V46" i="1"/>
  <c r="V51" i="1"/>
  <c r="W58" i="1"/>
  <c r="W62" i="1"/>
  <c r="W34" i="1"/>
  <c r="W61" i="1"/>
  <c r="W44" i="1"/>
  <c r="V32" i="1"/>
  <c r="V20" i="1"/>
  <c r="V22" i="1"/>
  <c r="V45" i="1"/>
  <c r="W60" i="1"/>
  <c r="W56" i="1"/>
  <c r="X56" i="1" s="1"/>
  <c r="V7" i="1"/>
  <c r="V38" i="1"/>
  <c r="W41" i="1"/>
  <c r="V5" i="1"/>
  <c r="W54" i="1"/>
  <c r="W35" i="1"/>
  <c r="V53" i="1"/>
  <c r="V19" i="1"/>
  <c r="V58" i="1"/>
  <c r="V60" i="1"/>
  <c r="V54" i="1"/>
  <c r="V27" i="1"/>
  <c r="V16" i="1"/>
  <c r="W51" i="1"/>
  <c r="W32" i="1"/>
  <c r="W57" i="1"/>
  <c r="W45" i="1"/>
  <c r="W27" i="1"/>
  <c r="W53" i="1"/>
  <c r="W59" i="1"/>
  <c r="W49" i="1"/>
  <c r="W43" i="1"/>
  <c r="W50" i="1"/>
  <c r="W38" i="1"/>
  <c r="W13" i="1"/>
  <c r="V13" i="1"/>
  <c r="V33" i="1"/>
  <c r="V17" i="1"/>
  <c r="X17" i="1" s="1"/>
  <c r="V30" i="1"/>
  <c r="V36" i="1"/>
  <c r="W36" i="1"/>
  <c r="V24" i="1"/>
  <c r="W48" i="1"/>
  <c r="V8" i="1"/>
  <c r="V18" i="1"/>
  <c r="V28" i="1"/>
  <c r="V35" i="1"/>
  <c r="V10" i="1"/>
  <c r="V61" i="1"/>
  <c r="V26" i="1"/>
  <c r="W25" i="1"/>
  <c r="V29" i="1"/>
  <c r="V40" i="1"/>
  <c r="V57" i="1"/>
  <c r="V49" i="1"/>
  <c r="W29" i="1"/>
  <c r="W7" i="1"/>
  <c r="V11" i="1"/>
  <c r="V59" i="1"/>
  <c r="V50" i="1"/>
  <c r="V6" i="1"/>
  <c r="V14" i="1"/>
  <c r="W10" i="1"/>
  <c r="W11" i="1"/>
  <c r="W14" i="1"/>
  <c r="W30" i="1"/>
  <c r="W5" i="1"/>
  <c r="W18" i="1"/>
  <c r="W15" i="1"/>
  <c r="X15" i="1" s="1"/>
  <c r="W33" i="1"/>
  <c r="W24" i="1"/>
  <c r="W40" i="1"/>
  <c r="W6" i="1"/>
  <c r="W9" i="1"/>
  <c r="W42" i="1"/>
  <c r="W23" i="1"/>
  <c r="W31" i="1"/>
  <c r="W39" i="1"/>
  <c r="W47" i="1"/>
  <c r="W12" i="1"/>
  <c r="W16" i="1"/>
  <c r="W20" i="1"/>
  <c r="W8" i="1"/>
  <c r="W46" i="1"/>
  <c r="W19" i="1"/>
  <c r="W37" i="1"/>
  <c r="W3" i="1"/>
  <c r="W26" i="1"/>
  <c r="W22" i="1"/>
  <c r="V23" i="1"/>
  <c r="V42" i="1"/>
  <c r="V37" i="1"/>
  <c r="V3" i="1"/>
  <c r="V39" i="1"/>
  <c r="V31" i="1"/>
  <c r="V12" i="1"/>
  <c r="V47" i="1"/>
  <c r="X9" i="1" l="1"/>
  <c r="X57" i="1"/>
  <c r="X48" i="1"/>
  <c r="X45" i="1"/>
  <c r="X60" i="1"/>
  <c r="X38" i="1"/>
  <c r="X44" i="1"/>
  <c r="X51" i="1"/>
  <c r="X32" i="1"/>
  <c r="X46" i="1"/>
  <c r="X58" i="1"/>
  <c r="X61" i="1"/>
  <c r="X22" i="1"/>
  <c r="X36" i="1"/>
  <c r="X53" i="1"/>
  <c r="X50" i="1"/>
  <c r="X54" i="1"/>
  <c r="X20" i="1"/>
  <c r="X7" i="1"/>
  <c r="X27" i="1"/>
  <c r="X35" i="1"/>
  <c r="X10" i="1"/>
  <c r="X59" i="1"/>
  <c r="X16" i="1"/>
  <c r="X30" i="1"/>
  <c r="X18" i="1"/>
  <c r="X5" i="1"/>
  <c r="X49" i="1"/>
  <c r="X19" i="1"/>
  <c r="X13" i="1"/>
  <c r="X8" i="1"/>
  <c r="X37" i="1"/>
  <c r="X42" i="1"/>
  <c r="X24" i="1"/>
  <c r="X33" i="1"/>
  <c r="X26" i="1"/>
  <c r="X29" i="1"/>
  <c r="X40" i="1"/>
  <c r="X14" i="1"/>
  <c r="X11" i="1"/>
  <c r="X6" i="1"/>
  <c r="X3" i="1"/>
  <c r="X31" i="1"/>
  <c r="X12" i="1"/>
  <c r="X39" i="1"/>
  <c r="X23" i="1"/>
  <c r="X47" i="1"/>
  <c r="B25" i="1" l="1"/>
  <c r="B17" i="1"/>
  <c r="B110" i="1"/>
  <c r="H25" i="10"/>
  <c r="C24" i="10"/>
  <c r="C8" i="10"/>
  <c r="H14" i="10"/>
  <c r="C35" i="10"/>
  <c r="C7" i="10"/>
  <c r="H51" i="10"/>
  <c r="H11" i="10"/>
  <c r="H42" i="10"/>
  <c r="C22" i="10"/>
  <c r="C5" i="10"/>
  <c r="M43" i="10"/>
  <c r="C23" i="10"/>
  <c r="C40" i="10"/>
  <c r="C31" i="10"/>
  <c r="C36" i="10"/>
  <c r="C9" i="10"/>
  <c r="C53" i="10"/>
  <c r="C6" i="10"/>
  <c r="H6" i="10"/>
  <c r="C30" i="10"/>
  <c r="H22" i="10"/>
  <c r="M29" i="10"/>
  <c r="H12" i="10"/>
  <c r="M24" i="10"/>
  <c r="H54" i="10"/>
  <c r="M36" i="10"/>
  <c r="C54" i="10"/>
  <c r="H29" i="10"/>
  <c r="M50" i="10"/>
  <c r="H34" i="10"/>
  <c r="H24" i="10"/>
  <c r="C51" i="10"/>
  <c r="M22" i="10"/>
  <c r="H32" i="10"/>
  <c r="M40" i="10"/>
  <c r="H30" i="10"/>
  <c r="C41" i="10"/>
  <c r="C32" i="10"/>
  <c r="H13" i="10"/>
  <c r="H8" i="10"/>
  <c r="H16" i="10"/>
  <c r="M54" i="10"/>
  <c r="C15" i="10"/>
  <c r="H23" i="10"/>
  <c r="C12" i="10"/>
  <c r="H53" i="10"/>
  <c r="C47" i="10"/>
  <c r="C16" i="10"/>
  <c r="M26" i="10"/>
  <c r="H27" i="10"/>
  <c r="M23" i="10"/>
  <c r="C42" i="10"/>
  <c r="H41" i="10"/>
  <c r="C13" i="10"/>
  <c r="M35" i="10"/>
  <c r="H15" i="10"/>
  <c r="C44" i="10"/>
  <c r="M33" i="10"/>
  <c r="H28" i="10"/>
  <c r="M27" i="10"/>
  <c r="C50" i="10"/>
  <c r="C18" i="10"/>
  <c r="H10" i="10"/>
  <c r="H33" i="10"/>
  <c r="M47" i="10"/>
  <c r="M34" i="10"/>
  <c r="C34" i="10"/>
  <c r="H9" i="10"/>
  <c r="H35" i="10"/>
  <c r="H31" i="10"/>
  <c r="C25" i="10"/>
  <c r="H36" i="10"/>
  <c r="C14" i="10"/>
  <c r="H49" i="10"/>
  <c r="B12" i="1"/>
  <c r="M48" i="10"/>
  <c r="H50" i="10"/>
  <c r="C27" i="10"/>
  <c r="H5" i="10"/>
  <c r="H46" i="10"/>
  <c r="M53" i="10"/>
  <c r="C45" i="10"/>
  <c r="C17" i="10"/>
  <c r="M32" i="10"/>
  <c r="H4" i="10"/>
  <c r="H18" i="10"/>
  <c r="C46" i="10"/>
  <c r="C10" i="10"/>
  <c r="M28" i="10"/>
  <c r="H43" i="10"/>
  <c r="M42" i="10"/>
  <c r="M52" i="10"/>
  <c r="H52" i="10"/>
  <c r="C33" i="10"/>
  <c r="B93" i="6"/>
  <c r="M25" i="10"/>
  <c r="H40" i="10"/>
  <c r="H17" i="10"/>
  <c r="C52" i="10"/>
  <c r="C48" i="10"/>
  <c r="H7" i="10"/>
  <c r="B40" i="4"/>
  <c r="M41" i="10"/>
  <c r="C29" i="10"/>
  <c r="B34" i="4"/>
  <c r="H47" i="10"/>
  <c r="H48" i="10"/>
  <c r="H26" i="10"/>
  <c r="M30" i="10"/>
  <c r="M46" i="10"/>
  <c r="B18" i="1"/>
  <c r="M31" i="10"/>
  <c r="M49" i="10"/>
  <c r="H45" i="10"/>
  <c r="C28" i="10"/>
  <c r="C43" i="10"/>
  <c r="H44" i="10"/>
  <c r="M45" i="10"/>
  <c r="M51" i="10"/>
  <c r="C11" i="10"/>
  <c r="C49" i="10"/>
  <c r="M44" i="10"/>
  <c r="C4" i="10"/>
  <c r="C26" i="10"/>
  <c r="B56" i="1"/>
  <c r="B61" i="6"/>
  <c r="B32" i="6"/>
  <c r="B39" i="6"/>
  <c r="B84" i="6"/>
  <c r="B75" i="1"/>
  <c r="B64" i="4"/>
  <c r="B19" i="1"/>
  <c r="B20" i="1"/>
  <c r="B87" i="4"/>
  <c r="B26" i="4"/>
  <c r="B83" i="4"/>
  <c r="B105" i="1"/>
  <c r="B33" i="1"/>
  <c r="B65" i="1"/>
  <c r="B69" i="6"/>
  <c r="B101" i="4"/>
  <c r="B9" i="1"/>
  <c r="B74" i="4"/>
  <c r="B45" i="4"/>
  <c r="B51" i="1"/>
  <c r="B50" i="4"/>
  <c r="B103" i="6"/>
  <c r="B86" i="6"/>
  <c r="B9" i="4"/>
  <c r="B78" i="6"/>
  <c r="B22" i="1"/>
  <c r="B96" i="6"/>
  <c r="B92" i="6"/>
  <c r="B81" i="6"/>
  <c r="B86" i="4"/>
  <c r="B91" i="4"/>
  <c r="B6" i="6"/>
  <c r="B27" i="6"/>
  <c r="B88" i="6"/>
  <c r="B33" i="6"/>
  <c r="B65" i="6"/>
  <c r="B39" i="1"/>
  <c r="B94" i="4"/>
  <c r="B59" i="1"/>
  <c r="B77" i="1"/>
  <c r="B60" i="1"/>
  <c r="B14" i="6"/>
  <c r="B77" i="4"/>
  <c r="B69" i="1"/>
  <c r="B103" i="1"/>
  <c r="B38" i="6"/>
  <c r="B72" i="1"/>
  <c r="B29" i="6"/>
  <c r="B101" i="6"/>
  <c r="B79" i="1"/>
  <c r="B27" i="1"/>
  <c r="B82" i="1"/>
  <c r="B66" i="4"/>
  <c r="B24" i="1"/>
  <c r="B81" i="1"/>
  <c r="B94" i="6"/>
  <c r="B82" i="4"/>
  <c r="B32" i="4"/>
  <c r="B71" i="4"/>
  <c r="B80" i="4"/>
  <c r="B52" i="4"/>
  <c r="B79" i="6"/>
  <c r="B20" i="6"/>
  <c r="B64" i="6"/>
  <c r="B42" i="1"/>
  <c r="B51" i="4"/>
  <c r="B20" i="4"/>
  <c r="B85" i="6"/>
  <c r="B58" i="1"/>
  <c r="B72" i="6"/>
  <c r="B99" i="4"/>
  <c r="B96" i="1"/>
  <c r="B54" i="1"/>
  <c r="B15" i="4"/>
  <c r="B89" i="4"/>
  <c r="B79" i="4"/>
  <c r="B99" i="6"/>
  <c r="B22" i="4"/>
  <c r="B45" i="6"/>
  <c r="B9" i="6"/>
  <c r="B85" i="1"/>
  <c r="B105" i="6"/>
  <c r="B44" i="6"/>
  <c r="B73" i="6"/>
  <c r="B11" i="4"/>
  <c r="B67" i="1"/>
  <c r="B92" i="1"/>
  <c r="B26" i="1"/>
  <c r="B17" i="6"/>
  <c r="B45" i="1"/>
  <c r="B53" i="4"/>
  <c r="B36" i="1"/>
  <c r="B47" i="1"/>
  <c r="B51" i="6"/>
  <c r="B102" i="4"/>
  <c r="B95" i="1"/>
  <c r="B94" i="1"/>
  <c r="B77" i="6"/>
  <c r="B92" i="4"/>
  <c r="B68" i="1"/>
  <c r="B34" i="1"/>
  <c r="B15" i="6"/>
  <c r="B63" i="6"/>
  <c r="B91" i="1"/>
  <c r="B43" i="1"/>
  <c r="B102" i="1"/>
  <c r="B70" i="4"/>
  <c r="B85" i="4"/>
  <c r="B46" i="6"/>
  <c r="B108" i="6"/>
  <c r="B28" i="6"/>
  <c r="B70" i="1"/>
  <c r="B66" i="1"/>
  <c r="B93" i="4"/>
  <c r="B106" i="1"/>
  <c r="B82" i="6"/>
  <c r="B41" i="4"/>
  <c r="B91" i="6"/>
  <c r="B41" i="1"/>
  <c r="B28" i="1"/>
  <c r="B13" i="1"/>
  <c r="B17" i="4"/>
  <c r="B50" i="6"/>
  <c r="B11" i="1"/>
  <c r="B72" i="4"/>
  <c r="B89" i="6"/>
  <c r="B64" i="1"/>
  <c r="B14" i="1"/>
  <c r="B105" i="4"/>
  <c r="B101" i="1"/>
  <c r="B57" i="1"/>
  <c r="B75" i="6"/>
  <c r="B28" i="4"/>
  <c r="B38" i="4"/>
  <c r="B67" i="4"/>
  <c r="B98" i="4"/>
  <c r="B21" i="4"/>
  <c r="B35" i="6"/>
  <c r="B23" i="6"/>
  <c r="B52" i="1"/>
  <c r="B78" i="4"/>
  <c r="B95" i="4"/>
  <c r="B63" i="1"/>
  <c r="B88" i="1"/>
  <c r="B80" i="1"/>
  <c r="B104" i="4"/>
  <c r="B108" i="4"/>
  <c r="B7" i="1"/>
  <c r="B102" i="6"/>
  <c r="B40" i="6"/>
  <c r="B10" i="4"/>
  <c r="A5" i="7"/>
  <c r="V2" i="5" s="1"/>
  <c r="J3" i="1" s="1"/>
  <c r="B8" i="1"/>
  <c r="B31" i="1"/>
  <c r="B29" i="4"/>
  <c r="B16" i="1"/>
  <c r="B49" i="1"/>
  <c r="B75" i="4"/>
  <c r="B62" i="4"/>
  <c r="B6" i="1"/>
  <c r="B56" i="6"/>
  <c r="B53" i="6"/>
  <c r="B47" i="4"/>
  <c r="B29" i="1"/>
  <c r="B107" i="1"/>
  <c r="B73" i="1"/>
  <c r="B76" i="6"/>
  <c r="B67" i="6"/>
  <c r="B109" i="1"/>
  <c r="B61" i="4"/>
  <c r="B100" i="6"/>
  <c r="B40" i="1"/>
  <c r="B56" i="4"/>
  <c r="B68" i="6"/>
  <c r="B97" i="1"/>
  <c r="B38" i="1"/>
  <c r="B16" i="6"/>
  <c r="B76" i="4"/>
  <c r="B35" i="1"/>
  <c r="B44" i="1"/>
  <c r="B57" i="6"/>
  <c r="B10" i="1"/>
  <c r="B41" i="6"/>
  <c r="B87" i="1"/>
  <c r="B23" i="1"/>
  <c r="B6" i="4"/>
  <c r="B90" i="4"/>
  <c r="B109" i="6"/>
  <c r="B97" i="6"/>
  <c r="B35" i="4"/>
  <c r="B88" i="4"/>
  <c r="B7" i="6"/>
  <c r="B47" i="6"/>
  <c r="B33" i="4"/>
  <c r="B74" i="1"/>
  <c r="B78" i="1"/>
  <c r="B71" i="6"/>
  <c r="B46" i="4"/>
  <c r="B70" i="6"/>
  <c r="B83" i="1"/>
  <c r="B61" i="1"/>
  <c r="B37" i="1"/>
  <c r="B21" i="6"/>
  <c r="B99" i="1"/>
  <c r="B106" i="6"/>
  <c r="B14" i="4"/>
  <c r="B46" i="1"/>
  <c r="B84" i="4"/>
  <c r="B103" i="4"/>
  <c r="B73" i="4"/>
  <c r="B96" i="4"/>
  <c r="B100" i="4"/>
  <c r="B93" i="1"/>
  <c r="B95" i="6"/>
  <c r="B23" i="4"/>
  <c r="B98" i="6"/>
  <c r="B44" i="4"/>
  <c r="B10" i="6"/>
  <c r="B27" i="4"/>
  <c r="B84" i="1"/>
  <c r="B15" i="1"/>
  <c r="B106" i="4"/>
  <c r="B7" i="4"/>
  <c r="B104" i="6"/>
  <c r="B32" i="1"/>
  <c r="B16" i="4"/>
  <c r="B69" i="4"/>
  <c r="B100" i="1"/>
  <c r="B83" i="6"/>
  <c r="B62" i="1"/>
  <c r="B53" i="1"/>
  <c r="B80" i="6"/>
  <c r="B71" i="1"/>
  <c r="B87" i="6"/>
  <c r="B39" i="4"/>
  <c r="B107" i="4"/>
  <c r="B22" i="6"/>
  <c r="B74" i="6"/>
  <c r="B11" i="6"/>
  <c r="B50" i="1"/>
  <c r="B90" i="6"/>
  <c r="B97" i="4"/>
  <c r="B30" i="1"/>
  <c r="B107" i="6"/>
  <c r="B98" i="1"/>
  <c r="B81" i="4"/>
  <c r="B90" i="1"/>
  <c r="B63" i="4"/>
  <c r="B48" i="1"/>
  <c r="B57" i="4"/>
  <c r="B104" i="1"/>
  <c r="B34" i="6"/>
  <c r="B65" i="4"/>
  <c r="B68" i="4"/>
  <c r="B55" i="1"/>
  <c r="B62" i="6"/>
  <c r="B86" i="1"/>
  <c r="B109" i="4"/>
  <c r="B21" i="1"/>
  <c r="B66" i="6"/>
  <c r="B89" i="1"/>
  <c r="B26" i="6"/>
  <c r="B108" i="1"/>
  <c r="B52" i="6"/>
  <c r="B76" i="1"/>
  <c r="V62" i="1" l="1"/>
  <c r="X62" i="1" s="1"/>
  <c r="Y62" i="1" s="1"/>
  <c r="W21" i="1"/>
  <c r="W52" i="1"/>
  <c r="V43" i="1"/>
  <c r="X43" i="1" s="1"/>
  <c r="Y43" i="1" s="1"/>
  <c r="V21" i="1"/>
  <c r="W28" i="1"/>
  <c r="X28" i="1" s="1"/>
  <c r="Y28" i="1" s="1"/>
  <c r="W55" i="1"/>
  <c r="W4" i="1"/>
  <c r="V25" i="1"/>
  <c r="X25" i="1" s="1"/>
  <c r="Y25" i="1" s="1"/>
  <c r="V52" i="1"/>
  <c r="V34" i="1"/>
  <c r="X34" i="1" s="1"/>
  <c r="Y34" i="1" s="1"/>
  <c r="V4" i="1"/>
  <c r="V41" i="1"/>
  <c r="X41" i="1" s="1"/>
  <c r="Y41" i="1" s="1"/>
  <c r="V55" i="1"/>
  <c r="D52" i="10"/>
  <c r="I53" i="10"/>
  <c r="N54" i="10"/>
  <c r="I4" i="10"/>
  <c r="D6" i="10"/>
  <c r="D45" i="10"/>
  <c r="I46" i="10"/>
  <c r="N47" i="10"/>
  <c r="I13" i="10"/>
  <c r="D15" i="10"/>
  <c r="D50" i="10"/>
  <c r="I51" i="10"/>
  <c r="N52" i="10"/>
  <c r="I18" i="10"/>
  <c r="D43" i="10"/>
  <c r="I44" i="10"/>
  <c r="N45" i="10"/>
  <c r="I11" i="10"/>
  <c r="D13" i="10"/>
  <c r="I30" i="10"/>
  <c r="N31" i="10"/>
  <c r="D32" i="10"/>
  <c r="I31" i="10"/>
  <c r="N32" i="10"/>
  <c r="D33" i="10"/>
  <c r="I36" i="10"/>
  <c r="D22" i="10"/>
  <c r="I25" i="10"/>
  <c r="N26" i="10"/>
  <c r="D27" i="10"/>
  <c r="N68" i="6"/>
  <c r="N84" i="6"/>
  <c r="N100" i="6"/>
  <c r="N66" i="4"/>
  <c r="N82" i="4"/>
  <c r="N98" i="4"/>
  <c r="V24" i="5"/>
  <c r="J25" i="1" s="1"/>
  <c r="V40" i="5"/>
  <c r="J41" i="1" s="1"/>
  <c r="V56" i="5"/>
  <c r="V72" i="5"/>
  <c r="V88" i="5"/>
  <c r="V104" i="5"/>
  <c r="N73" i="6"/>
  <c r="N89" i="6"/>
  <c r="N105" i="6"/>
  <c r="N67" i="4"/>
  <c r="N83" i="4"/>
  <c r="N99" i="4"/>
  <c r="V25" i="5"/>
  <c r="J26" i="1" s="1"/>
  <c r="V41" i="5"/>
  <c r="J42" i="1" s="1"/>
  <c r="V57" i="5"/>
  <c r="V73" i="5"/>
  <c r="V89" i="5"/>
  <c r="V105" i="5"/>
  <c r="N70" i="6"/>
  <c r="N86" i="6"/>
  <c r="N102" i="6"/>
  <c r="N68" i="4"/>
  <c r="N84" i="4"/>
  <c r="N100" i="4"/>
  <c r="V26" i="5"/>
  <c r="J27" i="1" s="1"/>
  <c r="V43" i="5"/>
  <c r="J44" i="1" s="1"/>
  <c r="V58" i="5"/>
  <c r="V74" i="5"/>
  <c r="V90" i="5"/>
  <c r="V106" i="5"/>
  <c r="N75" i="6"/>
  <c r="N91" i="6"/>
  <c r="N107" i="6"/>
  <c r="N73" i="4"/>
  <c r="N89" i="4"/>
  <c r="N105" i="4"/>
  <c r="V30" i="5"/>
  <c r="J31" i="1" s="1"/>
  <c r="V47" i="5"/>
  <c r="J48" i="1" s="1"/>
  <c r="V63" i="5"/>
  <c r="V79" i="5"/>
  <c r="V95" i="5"/>
  <c r="Y110" i="1"/>
  <c r="V19" i="5"/>
  <c r="J20" i="1" s="1"/>
  <c r="V5" i="5"/>
  <c r="J6" i="1" s="1"/>
  <c r="V16" i="5"/>
  <c r="J17" i="1" s="1"/>
  <c r="V12" i="5"/>
  <c r="J13" i="1" s="1"/>
  <c r="Y98" i="1"/>
  <c r="Y95" i="1"/>
  <c r="Y99" i="1"/>
  <c r="Y74" i="1"/>
  <c r="Y84" i="1"/>
  <c r="Y93" i="1"/>
  <c r="Y79" i="1"/>
  <c r="Y92" i="1"/>
  <c r="Y101" i="1"/>
  <c r="Y68" i="1"/>
  <c r="Y103" i="1"/>
  <c r="Y77" i="1"/>
  <c r="D40" i="10"/>
  <c r="I41" i="10"/>
  <c r="N42" i="10"/>
  <c r="I8" i="10"/>
  <c r="D10" i="10"/>
  <c r="D49" i="10"/>
  <c r="I50" i="10"/>
  <c r="N51" i="10"/>
  <c r="I17" i="10"/>
  <c r="D17" i="10"/>
  <c r="D54" i="10"/>
  <c r="N40" i="10"/>
  <c r="I6" i="10"/>
  <c r="D8" i="10"/>
  <c r="D47" i="10"/>
  <c r="I48" i="10"/>
  <c r="N49" i="10"/>
  <c r="I15" i="10"/>
  <c r="D14" i="10"/>
  <c r="I34" i="10"/>
  <c r="N35" i="10"/>
  <c r="D36" i="10"/>
  <c r="I35" i="10"/>
  <c r="N36" i="10"/>
  <c r="I24" i="10"/>
  <c r="N25" i="10"/>
  <c r="D26" i="10"/>
  <c r="I29" i="10"/>
  <c r="N30" i="10"/>
  <c r="D31" i="10"/>
  <c r="N72" i="6"/>
  <c r="N88" i="6"/>
  <c r="N104" i="6"/>
  <c r="N70" i="4"/>
  <c r="N86" i="4"/>
  <c r="N102" i="4"/>
  <c r="V29" i="5"/>
  <c r="J30" i="1" s="1"/>
  <c r="V45" i="5"/>
  <c r="J46" i="1" s="1"/>
  <c r="V60" i="5"/>
  <c r="V76" i="5"/>
  <c r="V92" i="5"/>
  <c r="V108" i="5"/>
  <c r="N77" i="6"/>
  <c r="N93" i="6"/>
  <c r="N109" i="6"/>
  <c r="N71" i="4"/>
  <c r="N87" i="4"/>
  <c r="N103" i="4"/>
  <c r="V28" i="5"/>
  <c r="J29" i="1" s="1"/>
  <c r="V44" i="5"/>
  <c r="J45" i="1" s="1"/>
  <c r="V61" i="5"/>
  <c r="V77" i="5"/>
  <c r="V93" i="5"/>
  <c r="V109" i="5"/>
  <c r="N74" i="6"/>
  <c r="N90" i="6"/>
  <c r="N106" i="6"/>
  <c r="N72" i="4"/>
  <c r="N88" i="4"/>
  <c r="N104" i="4"/>
  <c r="V31" i="5"/>
  <c r="J32" i="1" s="1"/>
  <c r="V46" i="5"/>
  <c r="J47" i="1" s="1"/>
  <c r="V62" i="5"/>
  <c r="V78" i="5"/>
  <c r="V94" i="5"/>
  <c r="N63" i="6"/>
  <c r="N79" i="6"/>
  <c r="N95" i="6"/>
  <c r="N77" i="4"/>
  <c r="N93" i="4"/>
  <c r="N109" i="4"/>
  <c r="V34" i="5"/>
  <c r="J35" i="1" s="1"/>
  <c r="V51" i="5"/>
  <c r="V67" i="5"/>
  <c r="V83" i="5"/>
  <c r="V99" i="5"/>
  <c r="D44" i="10"/>
  <c r="I45" i="10"/>
  <c r="N46" i="10"/>
  <c r="I12" i="10"/>
  <c r="D18" i="10"/>
  <c r="D53" i="10"/>
  <c r="I54" i="10"/>
  <c r="I5" i="10"/>
  <c r="D7" i="10"/>
  <c r="D42" i="10"/>
  <c r="I43" i="10"/>
  <c r="N44" i="10"/>
  <c r="I10" i="10"/>
  <c r="D12" i="10"/>
  <c r="D51" i="10"/>
  <c r="I52" i="10"/>
  <c r="N53" i="10"/>
  <c r="D5" i="10"/>
  <c r="I22" i="10"/>
  <c r="N23" i="10"/>
  <c r="D24" i="10"/>
  <c r="I23" i="10"/>
  <c r="N24" i="10"/>
  <c r="D25" i="10"/>
  <c r="I28" i="10"/>
  <c r="N29" i="10"/>
  <c r="D30" i="10"/>
  <c r="I33" i="10"/>
  <c r="N34" i="10"/>
  <c r="D35" i="10"/>
  <c r="N76" i="6"/>
  <c r="N92" i="6"/>
  <c r="N108" i="6"/>
  <c r="N74" i="4"/>
  <c r="N90" i="4"/>
  <c r="N106" i="4"/>
  <c r="V32" i="5"/>
  <c r="J33" i="1" s="1"/>
  <c r="V48" i="5"/>
  <c r="J49" i="1" s="1"/>
  <c r="V64" i="5"/>
  <c r="V80" i="5"/>
  <c r="V96" i="5"/>
  <c r="N65" i="6"/>
  <c r="N81" i="6"/>
  <c r="N97" i="6"/>
  <c r="N75" i="4"/>
  <c r="N91" i="4"/>
  <c r="N107" i="4"/>
  <c r="V33" i="5"/>
  <c r="J34" i="1" s="1"/>
  <c r="V49" i="5"/>
  <c r="J50" i="1" s="1"/>
  <c r="V65" i="5"/>
  <c r="V81" i="5"/>
  <c r="V97" i="5"/>
  <c r="N62" i="6"/>
  <c r="N78" i="6"/>
  <c r="N94" i="6"/>
  <c r="N76" i="4"/>
  <c r="N92" i="4"/>
  <c r="N108" i="4"/>
  <c r="V35" i="5"/>
  <c r="J36" i="1" s="1"/>
  <c r="V50" i="5"/>
  <c r="V66" i="5"/>
  <c r="V82" i="5"/>
  <c r="V98" i="5"/>
  <c r="N67" i="6"/>
  <c r="N83" i="6"/>
  <c r="N99" i="6"/>
  <c r="N65" i="4"/>
  <c r="N81" i="4"/>
  <c r="N97" i="4"/>
  <c r="V23" i="5"/>
  <c r="J24" i="1" s="1"/>
  <c r="V39" i="5"/>
  <c r="J40" i="1" s="1"/>
  <c r="V54" i="5"/>
  <c r="V71" i="5"/>
  <c r="V87" i="5"/>
  <c r="V103" i="5"/>
  <c r="N43" i="10"/>
  <c r="D46" i="10"/>
  <c r="I14" i="10"/>
  <c r="N27" i="10"/>
  <c r="D29" i="10"/>
  <c r="N22" i="10"/>
  <c r="N96" i="6"/>
  <c r="V21" i="5"/>
  <c r="J22" i="1" s="1"/>
  <c r="V84" i="5"/>
  <c r="N101" i="6"/>
  <c r="V20" i="5"/>
  <c r="J21" i="1" s="1"/>
  <c r="V85" i="5"/>
  <c r="N98" i="6"/>
  <c r="V22" i="5"/>
  <c r="J23" i="1" s="1"/>
  <c r="V86" i="5"/>
  <c r="N103" i="6"/>
  <c r="V27" i="5"/>
  <c r="J28" i="1" s="1"/>
  <c r="V91" i="5"/>
  <c r="V18" i="5"/>
  <c r="J19" i="1" s="1"/>
  <c r="V9" i="5"/>
  <c r="J10" i="1" s="1"/>
  <c r="V14" i="5"/>
  <c r="J15" i="1" s="1"/>
  <c r="Y63" i="1"/>
  <c r="Y75" i="1"/>
  <c r="Y73" i="1"/>
  <c r="Y86" i="1"/>
  <c r="Y100" i="1"/>
  <c r="Y94" i="1"/>
  <c r="Y87" i="1"/>
  <c r="Y108" i="1"/>
  <c r="V10" i="5"/>
  <c r="J11" i="1" s="1"/>
  <c r="V3" i="5"/>
  <c r="J4" i="1" s="1"/>
  <c r="Y78" i="1"/>
  <c r="Y71" i="1"/>
  <c r="Y80" i="1"/>
  <c r="Y69" i="1"/>
  <c r="Y88" i="1"/>
  <c r="I42" i="10"/>
  <c r="D11" i="10"/>
  <c r="N41" i="10"/>
  <c r="I26" i="10"/>
  <c r="D34" i="10"/>
  <c r="V68" i="5"/>
  <c r="V69" i="5"/>
  <c r="N82" i="6"/>
  <c r="N87" i="6"/>
  <c r="N101" i="4"/>
  <c r="V6" i="5"/>
  <c r="J7" i="1" s="1"/>
  <c r="V17" i="5"/>
  <c r="J18" i="1" s="1"/>
  <c r="Y64" i="1"/>
  <c r="Y106" i="1"/>
  <c r="Y81" i="1"/>
  <c r="Y107" i="1"/>
  <c r="Y91" i="1"/>
  <c r="D48" i="10"/>
  <c r="I16" i="10"/>
  <c r="I47" i="10"/>
  <c r="D16" i="10"/>
  <c r="I7" i="10"/>
  <c r="D28" i="10"/>
  <c r="I32" i="10"/>
  <c r="D23" i="10"/>
  <c r="N62" i="4"/>
  <c r="V37" i="5"/>
  <c r="J38" i="1" s="1"/>
  <c r="V100" i="5"/>
  <c r="N63" i="4"/>
  <c r="V36" i="5"/>
  <c r="J37" i="1" s="1"/>
  <c r="V101" i="5"/>
  <c r="N64" i="4"/>
  <c r="V38" i="5"/>
  <c r="J39" i="1" s="1"/>
  <c r="V102" i="5"/>
  <c r="N69" i="4"/>
  <c r="V42" i="5"/>
  <c r="J43" i="1" s="1"/>
  <c r="V107" i="5"/>
  <c r="V13" i="5"/>
  <c r="J14" i="1" s="1"/>
  <c r="Y66" i="1"/>
  <c r="Y76" i="1"/>
  <c r="Y82" i="1"/>
  <c r="Y70" i="1"/>
  <c r="N80" i="6"/>
  <c r="N94" i="4"/>
  <c r="N85" i="6"/>
  <c r="N96" i="4"/>
  <c r="V75" i="5"/>
  <c r="Y105" i="1"/>
  <c r="Y83" i="1"/>
  <c r="Y97" i="1"/>
  <c r="I49" i="10"/>
  <c r="D41" i="10"/>
  <c r="I9" i="10"/>
  <c r="N48" i="10"/>
  <c r="I40" i="10"/>
  <c r="D9" i="10"/>
  <c r="I27" i="10"/>
  <c r="N33" i="10"/>
  <c r="N64" i="6"/>
  <c r="N78" i="4"/>
  <c r="V53" i="5"/>
  <c r="N69" i="6"/>
  <c r="N79" i="4"/>
  <c r="V52" i="5"/>
  <c r="N66" i="6"/>
  <c r="N80" i="4"/>
  <c r="V55" i="5"/>
  <c r="N71" i="6"/>
  <c r="N85" i="4"/>
  <c r="V59" i="5"/>
  <c r="V15" i="5"/>
  <c r="J16" i="1" s="1"/>
  <c r="V7" i="5"/>
  <c r="J8" i="1" s="1"/>
  <c r="V11" i="5"/>
  <c r="J12" i="1" s="1"/>
  <c r="Y65" i="1"/>
  <c r="Y104" i="1"/>
  <c r="Y85" i="1"/>
  <c r="Y72" i="1"/>
  <c r="Y89" i="1"/>
  <c r="Y67" i="1"/>
  <c r="Y90" i="1"/>
  <c r="Y96" i="1"/>
  <c r="Y102" i="1"/>
  <c r="N50" i="10"/>
  <c r="N28" i="10"/>
  <c r="N95" i="4"/>
  <c r="V70" i="5"/>
  <c r="V4" i="5"/>
  <c r="J5" i="1" s="1"/>
  <c r="V8" i="5"/>
  <c r="J9" i="1" s="1"/>
  <c r="Y109" i="1"/>
  <c r="Y9" i="1"/>
  <c r="Y56" i="1"/>
  <c r="Y15" i="1"/>
  <c r="Y38" i="1"/>
  <c r="Y48" i="1"/>
  <c r="Y60" i="1"/>
  <c r="Y17" i="1"/>
  <c r="Y44" i="1"/>
  <c r="Y45" i="1"/>
  <c r="Y57" i="1"/>
  <c r="Y61" i="1"/>
  <c r="Y51" i="1"/>
  <c r="Y47" i="1"/>
  <c r="Y24" i="1"/>
  <c r="Y30" i="1"/>
  <c r="Y37" i="1"/>
  <c r="Y18" i="1"/>
  <c r="Y20" i="1"/>
  <c r="Y40" i="1"/>
  <c r="Y26" i="1"/>
  <c r="Y54" i="1"/>
  <c r="Y33" i="1"/>
  <c r="Y49" i="1"/>
  <c r="Y19" i="1"/>
  <c r="Y46" i="1"/>
  <c r="Y32" i="1"/>
  <c r="Y59" i="1"/>
  <c r="Y6" i="1"/>
  <c r="Y23" i="1"/>
  <c r="Y35" i="1"/>
  <c r="Y53" i="1"/>
  <c r="Y8" i="1"/>
  <c r="Y16" i="1"/>
  <c r="Y36" i="1"/>
  <c r="Y42" i="1"/>
  <c r="Y22" i="1"/>
  <c r="Y11" i="1"/>
  <c r="Y27" i="1"/>
  <c r="Y14" i="1"/>
  <c r="Y7" i="1"/>
  <c r="Y12" i="1"/>
  <c r="Y50" i="1"/>
  <c r="Y31" i="1"/>
  <c r="Y13" i="1"/>
  <c r="Y10" i="1"/>
  <c r="Y58" i="1"/>
  <c r="Y29" i="1"/>
  <c r="Y39" i="1"/>
  <c r="X21" i="1" l="1"/>
  <c r="Y21" i="1" s="1"/>
  <c r="X55" i="1"/>
  <c r="Y55" i="1" s="1"/>
  <c r="X52" i="1"/>
  <c r="Y52" i="1" s="1"/>
  <c r="X4" i="1"/>
  <c r="N2" i="4"/>
  <c r="L3" i="1" s="1"/>
  <c r="N57" i="4"/>
  <c r="N33" i="4"/>
  <c r="L34" i="1" s="1"/>
  <c r="N51" i="4"/>
  <c r="N36" i="4"/>
  <c r="L37" i="1" s="1"/>
  <c r="N28" i="4"/>
  <c r="L29" i="1" s="1"/>
  <c r="N47" i="4"/>
  <c r="L48" i="1" s="1"/>
  <c r="N56" i="4"/>
  <c r="N34" i="4"/>
  <c r="L35" i="1" s="1"/>
  <c r="N61" i="4"/>
  <c r="N37" i="4"/>
  <c r="L38" i="1" s="1"/>
  <c r="N55" i="4"/>
  <c r="N18" i="4"/>
  <c r="L19" i="1" s="1"/>
  <c r="N14" i="4"/>
  <c r="L15" i="1" s="1"/>
  <c r="N16" i="4"/>
  <c r="L17" i="1" s="1"/>
  <c r="N9" i="4"/>
  <c r="L10" i="1" s="1"/>
  <c r="N25" i="4"/>
  <c r="L26" i="1" s="1"/>
  <c r="N39" i="4"/>
  <c r="L40" i="1" s="1"/>
  <c r="N24" i="4"/>
  <c r="L25" i="1" s="1"/>
  <c r="N29" i="4"/>
  <c r="L30" i="1" s="1"/>
  <c r="N22" i="4"/>
  <c r="L23" i="1" s="1"/>
  <c r="N15" i="4"/>
  <c r="L16" i="1" s="1"/>
  <c r="N5" i="4"/>
  <c r="L6" i="1" s="1"/>
  <c r="N3" i="4"/>
  <c r="L4" i="1" s="1"/>
  <c r="N41" i="4"/>
  <c r="L42" i="1" s="1"/>
  <c r="N59" i="4"/>
  <c r="N35" i="4"/>
  <c r="L36" i="1" s="1"/>
  <c r="N20" i="4"/>
  <c r="L21" i="1" s="1"/>
  <c r="N54" i="4"/>
  <c r="N31" i="4"/>
  <c r="L32" i="1" s="1"/>
  <c r="N40" i="4"/>
  <c r="L41" i="1" s="1"/>
  <c r="N58" i="4"/>
  <c r="N44" i="4"/>
  <c r="L45" i="1" s="1"/>
  <c r="N21" i="4"/>
  <c r="L22" i="1" s="1"/>
  <c r="N38" i="4"/>
  <c r="L39" i="1" s="1"/>
  <c r="N13" i="4"/>
  <c r="L14" i="1" s="1"/>
  <c r="N7" i="4"/>
  <c r="L8" i="1" s="1"/>
  <c r="N10" i="4"/>
  <c r="L11" i="1" s="1"/>
  <c r="N19" i="4"/>
  <c r="L20" i="1" s="1"/>
  <c r="N42" i="4"/>
  <c r="L43" i="1" s="1"/>
  <c r="N60" i="4"/>
  <c r="N49" i="4"/>
  <c r="L50" i="1" s="1"/>
  <c r="N43" i="4"/>
  <c r="L44" i="1" s="1"/>
  <c r="N46" i="4"/>
  <c r="L47" i="1" s="1"/>
  <c r="N6" i="4"/>
  <c r="L7" i="1" s="1"/>
  <c r="N17" i="4"/>
  <c r="L18" i="1" s="1"/>
  <c r="N53" i="4"/>
  <c r="N50" i="4"/>
  <c r="N12" i="4"/>
  <c r="L13" i="1" s="1"/>
  <c r="N48" i="4"/>
  <c r="L49" i="1" s="1"/>
  <c r="N45" i="4"/>
  <c r="L46" i="1" s="1"/>
  <c r="N11" i="4"/>
  <c r="L12" i="1" s="1"/>
  <c r="N26" i="4"/>
  <c r="L27" i="1" s="1"/>
  <c r="N27" i="4"/>
  <c r="L28" i="1" s="1"/>
  <c r="N23" i="4"/>
  <c r="L24" i="1" s="1"/>
  <c r="N52" i="4"/>
  <c r="N4" i="4"/>
  <c r="L5" i="1" s="1"/>
  <c r="N32" i="4"/>
  <c r="L33" i="1" s="1"/>
  <c r="N30" i="4"/>
  <c r="L31" i="1" s="1"/>
  <c r="N8" i="4"/>
  <c r="L9" i="1" s="1"/>
  <c r="N11" i="6"/>
  <c r="K12" i="1" s="1"/>
  <c r="N38" i="6"/>
  <c r="K39" i="1" s="1"/>
  <c r="N28" i="6"/>
  <c r="K29" i="1" s="1"/>
  <c r="N20" i="6"/>
  <c r="K21" i="1" s="1"/>
  <c r="M21" i="1" s="1"/>
  <c r="N39" i="6"/>
  <c r="K40" i="1" s="1"/>
  <c r="N18" i="6"/>
  <c r="K19" i="1" s="1"/>
  <c r="N8" i="6"/>
  <c r="K9" i="1" s="1"/>
  <c r="M9" i="1" s="1"/>
  <c r="N56" i="6"/>
  <c r="N7" i="6"/>
  <c r="K8" i="1" s="1"/>
  <c r="N52" i="6"/>
  <c r="N45" i="6"/>
  <c r="K46" i="1" s="1"/>
  <c r="N19" i="6"/>
  <c r="K20" i="1" s="1"/>
  <c r="N42" i="6"/>
  <c r="K43" i="1" s="1"/>
  <c r="M43" i="1" s="1"/>
  <c r="N33" i="6"/>
  <c r="K34" i="1" s="1"/>
  <c r="M34" i="1" s="1"/>
  <c r="N24" i="6"/>
  <c r="K25" i="1" s="1"/>
  <c r="N6" i="6"/>
  <c r="K7" i="1" s="1"/>
  <c r="N46" i="6"/>
  <c r="K47" i="1" s="1"/>
  <c r="N41" i="6"/>
  <c r="K42" i="1" s="1"/>
  <c r="N54" i="6"/>
  <c r="N21" i="6"/>
  <c r="K22" i="1" s="1"/>
  <c r="N26" i="6"/>
  <c r="K27" i="1" s="1"/>
  <c r="N60" i="6"/>
  <c r="N43" i="6"/>
  <c r="K44" i="1" s="1"/>
  <c r="N22" i="6"/>
  <c r="K23" i="1" s="1"/>
  <c r="N12" i="6"/>
  <c r="K13" i="1" s="1"/>
  <c r="N5" i="6"/>
  <c r="K6" i="1" s="1"/>
  <c r="N14" i="6"/>
  <c r="K15" i="1" s="1"/>
  <c r="M15" i="1" s="1"/>
  <c r="N2" i="6"/>
  <c r="K3" i="1" s="1"/>
  <c r="N48" i="6"/>
  <c r="K49" i="1" s="1"/>
  <c r="N30" i="6"/>
  <c r="K31" i="1" s="1"/>
  <c r="N47" i="6"/>
  <c r="K48" i="1" s="1"/>
  <c r="N37" i="6"/>
  <c r="K38" i="1" s="1"/>
  <c r="M38" i="1" s="1"/>
  <c r="N29" i="6"/>
  <c r="K30" i="1" s="1"/>
  <c r="N50" i="6"/>
  <c r="N27" i="6"/>
  <c r="K28" i="1" s="1"/>
  <c r="N16" i="6"/>
  <c r="K17" i="1" s="1"/>
  <c r="N9" i="6"/>
  <c r="K10" i="1" s="1"/>
  <c r="M10" i="1" s="1"/>
  <c r="N23" i="6"/>
  <c r="K24" i="1" s="1"/>
  <c r="N53" i="6"/>
  <c r="N51" i="6"/>
  <c r="N32" i="6"/>
  <c r="K33" i="1" s="1"/>
  <c r="N31" i="6"/>
  <c r="K32" i="1" s="1"/>
  <c r="N13" i="6"/>
  <c r="K14" i="1" s="1"/>
  <c r="M14" i="1" s="1"/>
  <c r="N10" i="6"/>
  <c r="K11" i="1" s="1"/>
  <c r="N57" i="6"/>
  <c r="N36" i="6"/>
  <c r="K37" i="1" s="1"/>
  <c r="N17" i="6"/>
  <c r="K18" i="1" s="1"/>
  <c r="N61" i="6"/>
  <c r="N3" i="6"/>
  <c r="K4" i="1" s="1"/>
  <c r="M4" i="1" s="1"/>
  <c r="N35" i="6"/>
  <c r="K36" i="1" s="1"/>
  <c r="N59" i="6"/>
  <c r="N58" i="6"/>
  <c r="N55" i="6"/>
  <c r="N34" i="6"/>
  <c r="K35" i="1" s="1"/>
  <c r="M35" i="1" s="1"/>
  <c r="N15" i="6"/>
  <c r="K16" i="1" s="1"/>
  <c r="N49" i="6"/>
  <c r="K50" i="1" s="1"/>
  <c r="N44" i="6"/>
  <c r="K45" i="1" s="1"/>
  <c r="M45" i="1" s="1"/>
  <c r="N25" i="6"/>
  <c r="K26" i="1" s="1"/>
  <c r="N4" i="6"/>
  <c r="K5" i="1" s="1"/>
  <c r="N40" i="6"/>
  <c r="K41" i="1" s="1"/>
  <c r="M3" i="1" l="1"/>
  <c r="M36" i="1"/>
  <c r="M32" i="1"/>
  <c r="M48" i="1"/>
  <c r="M7" i="1"/>
  <c r="M23" i="1"/>
  <c r="M5" i="1"/>
  <c r="M29" i="1"/>
  <c r="M37" i="1"/>
  <c r="M26" i="1"/>
  <c r="M42" i="1"/>
  <c r="M40" i="1"/>
  <c r="Y4" i="1"/>
  <c r="Y5" i="1"/>
  <c r="Y3" i="1"/>
  <c r="M22" i="1"/>
  <c r="M16" i="1"/>
  <c r="M18" i="1"/>
  <c r="M50" i="1"/>
  <c r="M19" i="1"/>
  <c r="M6" i="1"/>
  <c r="M39" i="1"/>
  <c r="M28" i="1"/>
  <c r="M8" i="1"/>
  <c r="M25" i="1"/>
  <c r="M24" i="1"/>
  <c r="M12" i="1"/>
  <c r="M41" i="1"/>
  <c r="M44" i="1"/>
  <c r="M27" i="1"/>
  <c r="M11" i="1"/>
  <c r="M33" i="1"/>
  <c r="M49" i="1"/>
  <c r="M47" i="1"/>
  <c r="M31" i="1"/>
  <c r="M13" i="1"/>
  <c r="M17" i="1"/>
  <c r="M20" i="1"/>
  <c r="M46" i="1"/>
  <c r="M30" i="1"/>
  <c r="D4" i="10"/>
  <c r="N10" i="1" l="1"/>
  <c r="N23" i="1"/>
  <c r="N7" i="1"/>
  <c r="N18" i="1"/>
  <c r="N16" i="1"/>
  <c r="N22" i="1"/>
  <c r="N12" i="1"/>
  <c r="N20" i="1"/>
  <c r="N24" i="1"/>
  <c r="N17" i="1"/>
  <c r="N25" i="1"/>
  <c r="N3" i="1"/>
  <c r="N8" i="1"/>
  <c r="N13" i="1"/>
  <c r="N4" i="1"/>
  <c r="N26" i="1"/>
  <c r="N15" i="1"/>
  <c r="N6" i="1"/>
  <c r="N21" i="1"/>
  <c r="N19" i="1"/>
  <c r="N9" i="1"/>
  <c r="N11" i="1"/>
  <c r="N5" i="1"/>
  <c r="N14" i="1"/>
</calcChain>
</file>

<file path=xl/sharedStrings.xml><?xml version="1.0" encoding="utf-8"?>
<sst xmlns="http://schemas.openxmlformats.org/spreadsheetml/2006/main" count="182" uniqueCount="122">
  <si>
    <t>1.</t>
  </si>
  <si>
    <t>2.</t>
  </si>
  <si>
    <t>3.</t>
  </si>
  <si>
    <t>4.</t>
  </si>
  <si>
    <t>5.</t>
  </si>
  <si>
    <r>
      <t xml:space="preserve">If you are copying data into the Input pages please remember to use the </t>
    </r>
    <r>
      <rPr>
        <b/>
        <sz val="20"/>
        <color theme="1"/>
        <rFont val="Calibri"/>
        <family val="2"/>
        <scheme val="minor"/>
      </rPr>
      <t xml:space="preserve">'Paste Values' </t>
    </r>
    <r>
      <rPr>
        <sz val="20"/>
        <color theme="1"/>
        <rFont val="Calibri"/>
        <family val="2"/>
        <scheme val="minor"/>
      </rPr>
      <t>or</t>
    </r>
    <r>
      <rPr>
        <b/>
        <sz val="20"/>
        <color theme="1"/>
        <rFont val="Calibri"/>
        <family val="2"/>
        <scheme val="minor"/>
      </rPr>
      <t xml:space="preserve"> 'Use Destination Formatting'</t>
    </r>
    <r>
      <rPr>
        <sz val="20"/>
        <color theme="1"/>
        <rFont val="Calibri"/>
        <family val="2"/>
        <scheme val="minor"/>
      </rPr>
      <t xml:space="preserve"> option.</t>
    </r>
  </si>
  <si>
    <t>(This stops the formatting and formulae being overwritten)</t>
  </si>
  <si>
    <t>Version</t>
  </si>
  <si>
    <r>
      <rPr>
        <b/>
        <i/>
        <sz val="20"/>
        <color theme="1"/>
        <rFont val="Calibri"/>
        <family val="2"/>
        <scheme val="minor"/>
      </rPr>
      <t>FIRST® LEGO</t>
    </r>
    <r>
      <rPr>
        <b/>
        <sz val="20"/>
        <color theme="1"/>
        <rFont val="Calibri"/>
        <family val="2"/>
      </rPr>
      <t>®</t>
    </r>
    <r>
      <rPr>
        <b/>
        <sz val="20"/>
        <color theme="1"/>
        <rFont val="Calibri"/>
        <family val="2"/>
        <scheme val="minor"/>
      </rPr>
      <t xml:space="preserve"> League Challenge Official Judging Spreadsheet</t>
    </r>
  </si>
  <si>
    <t>Team Number</t>
  </si>
  <si>
    <t>Team Name</t>
  </si>
  <si>
    <t>Coach</t>
  </si>
  <si>
    <t>Pod Number</t>
  </si>
  <si>
    <t>Number of Teams</t>
  </si>
  <si>
    <t>DO NOT CLICK THIS BUTTON AFTER SCORE ENTRY HAS BEGUN. IF TEAM INFORMATION NEEDS UPDATING IT MUST BE CHANGED MANUALLY ON EACH PAGE.</t>
  </si>
  <si>
    <t>Number of Teams Advancing</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</si>
  <si>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</si>
  <si>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</si>
  <si>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</si>
  <si>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</si>
  <si>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</si>
  <si>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</si>
  <si>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</si>
  <si>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</si>
  <si>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</si>
  <si>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</si>
  <si>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</si>
  <si>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</si>
  <si>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</si>
  <si>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</si>
  <si>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</si>
  <si>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</si>
  <si>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</si>
  <si>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</si>
  <si>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</si>
  <si>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Breakthrough</t>
  </si>
  <si>
    <t>Rising All-Star</t>
  </si>
  <si>
    <t>Motivate</t>
  </si>
  <si>
    <t>Award</t>
  </si>
  <si>
    <t>Award Place</t>
  </si>
  <si>
    <t>Advance?</t>
  </si>
  <si>
    <t>Core Values Score</t>
  </si>
  <si>
    <t>Innovattion Project Score</t>
  </si>
  <si>
    <t>Robot Design Score</t>
  </si>
  <si>
    <t>Overall Score - Geometric Mean</t>
  </si>
  <si>
    <t>Overall Ranking - Geometric Mean</t>
  </si>
  <si>
    <t>Champion's</t>
  </si>
  <si>
    <t>YES</t>
  </si>
  <si>
    <t>1st</t>
  </si>
  <si>
    <t>Core Values</t>
  </si>
  <si>
    <t>NO</t>
  </si>
  <si>
    <t>2nd</t>
  </si>
  <si>
    <t>Innovation Project</t>
  </si>
  <si>
    <t>3rd</t>
  </si>
  <si>
    <t>Robot Design</t>
  </si>
  <si>
    <t>4th</t>
  </si>
  <si>
    <t>Engineering Excellence</t>
  </si>
  <si>
    <t>Highest Robot Game Score</t>
  </si>
  <si>
    <t>Robot Game 1 Score</t>
  </si>
  <si>
    <t>Robot Game 2 Score</t>
  </si>
  <si>
    <t>Robot Game 3 Score</t>
  </si>
  <si>
    <t>Robot Game 4 Score</t>
  </si>
  <si>
    <t>Robot Game 5 Score</t>
  </si>
  <si>
    <t>rank</t>
  </si>
  <si>
    <t>team</t>
  </si>
  <si>
    <t>total</t>
  </si>
  <si>
    <t>Gracious Professionalism 1</t>
  </si>
  <si>
    <t>Gracious Professionalism 2</t>
  </si>
  <si>
    <t>Gracious Professionalism 3</t>
  </si>
  <si>
    <t>Gracious Professionalism 4</t>
  </si>
  <si>
    <t>Gracious Professionalism 5</t>
  </si>
  <si>
    <t>Gracious Professionalism Empty Count</t>
  </si>
  <si>
    <t>Gracious Professionalism Total</t>
  </si>
  <si>
    <t>Gracious Professionalism Score</t>
  </si>
  <si>
    <t>Breakthrough Selection</t>
  </si>
  <si>
    <t>Rising All-Star Selection</t>
  </si>
  <si>
    <t>Motivate Selection</t>
  </si>
  <si>
    <t>Create - Model</t>
  </si>
  <si>
    <t>Iterate - Sharing</t>
  </si>
  <si>
    <t>Innovation Project Score</t>
  </si>
  <si>
    <t>GIA Score</t>
  </si>
  <si>
    <t>Identify - Strategy</t>
  </si>
  <si>
    <t>Iterate - Testing</t>
  </si>
  <si>
    <t>Advancement</t>
  </si>
  <si>
    <t>Deliberated Rank</t>
  </si>
  <si>
    <t>SUBMERGED</t>
  </si>
  <si>
    <r>
      <t>When all the data has been inputted, go the '</t>
    </r>
    <r>
      <rPr>
        <b/>
        <sz val="36"/>
        <color theme="1"/>
        <rFont val="Calibri"/>
        <family val="2"/>
        <scheme val="minor"/>
      </rPr>
      <t>Results and Rankings</t>
    </r>
    <r>
      <rPr>
        <sz val="36"/>
        <color theme="1"/>
        <rFont val="Calibri"/>
        <family val="2"/>
        <scheme val="minor"/>
      </rPr>
      <t>' page to view all of the information in one place.</t>
    </r>
  </si>
  <si>
    <t>Useful Tips:</t>
  </si>
  <si>
    <t>Discovery (IP)</t>
  </si>
  <si>
    <t>Teamwork (IP)</t>
  </si>
  <si>
    <t>Innovation (IP)</t>
  </si>
  <si>
    <t>Impact (IP)</t>
  </si>
  <si>
    <t>Fun (IP)</t>
  </si>
  <si>
    <t>Discovery (RD)</t>
  </si>
  <si>
    <t>Inclusion (RD)</t>
  </si>
  <si>
    <t>Innovation (RD)</t>
  </si>
  <si>
    <t>Impact (RD)</t>
  </si>
  <si>
    <t>Fun (RD)</t>
  </si>
  <si>
    <r>
      <t xml:space="preserve">Core Values scores, except </t>
    </r>
    <r>
      <rPr>
        <i/>
        <sz val="22"/>
        <color theme="1"/>
        <rFont val="Calibri"/>
        <family val="2"/>
        <scheme val="minor"/>
      </rPr>
      <t xml:space="preserve">Gracious Professionalism </t>
    </r>
    <r>
      <rPr>
        <sz val="22"/>
        <color theme="1"/>
        <rFont val="Calibri"/>
        <family val="2"/>
        <scheme val="minor"/>
      </rPr>
      <t>scores from the robot game, are populated automatically from the other rubric scores - no score information should be added to columns C-L on the 'Core Values Input' page.</t>
    </r>
  </si>
  <si>
    <r>
      <t xml:space="preserve">You can sort your data by a specific column by clicking on the small arrow in the column header box and selecting </t>
    </r>
    <r>
      <rPr>
        <b/>
        <sz val="20"/>
        <color theme="1"/>
        <rFont val="Calibri"/>
        <family val="2"/>
        <scheme val="minor"/>
      </rPr>
      <t>'sort smallest to largest'</t>
    </r>
    <r>
      <rPr>
        <sz val="20"/>
        <color theme="1"/>
        <rFont val="Calibri"/>
        <family val="2"/>
        <scheme val="minor"/>
      </rPr>
      <t xml:space="preserve"> or 'A to Z'.</t>
    </r>
  </si>
  <si>
    <r>
      <t xml:space="preserve">If referees hand in printed scoresheets, robot game scores will need to be calclulated using the </t>
    </r>
    <r>
      <rPr>
        <b/>
        <sz val="20"/>
        <color theme="1"/>
        <rFont val="Calibri"/>
        <family val="2"/>
        <scheme val="minor"/>
      </rPr>
      <t>'Official Scoring Calculator'</t>
    </r>
    <r>
      <rPr>
        <sz val="20"/>
        <color theme="1"/>
        <rFont val="Calibri"/>
        <family val="2"/>
        <scheme val="minor"/>
      </rPr>
      <t xml:space="preserve"> tool (online).</t>
    </r>
  </si>
  <si>
    <t>Design - Plan</t>
  </si>
  <si>
    <t>Create - Attachments</t>
  </si>
  <si>
    <t>Create - Code/ Sensors</t>
  </si>
  <si>
    <r>
      <t>Open the '</t>
    </r>
    <r>
      <rPr>
        <b/>
        <sz val="36"/>
        <color theme="1"/>
        <rFont val="Calibri"/>
        <family val="2"/>
        <scheme val="minor"/>
      </rPr>
      <t>Team and Program Information'</t>
    </r>
    <r>
      <rPr>
        <sz val="36"/>
        <color theme="1"/>
        <rFont val="Calibri"/>
        <family val="2"/>
        <scheme val="minor"/>
      </rPr>
      <t xml:space="preserve"> page. Enter the team numbers and the team names. Also, the number of teams advancing from this event in the box on the left.</t>
    </r>
  </si>
  <si>
    <r>
      <t xml:space="preserve">You are now ready to </t>
    </r>
    <r>
      <rPr>
        <b/>
        <sz val="36"/>
        <color theme="1"/>
        <rFont val="Calibri"/>
        <family val="2"/>
        <scheme val="minor"/>
      </rPr>
      <t>allocate your awards</t>
    </r>
    <r>
      <rPr>
        <sz val="36"/>
        <color theme="1"/>
        <rFont val="Calibri"/>
        <family val="2"/>
        <scheme val="minor"/>
      </rPr>
      <t xml:space="preserve"> based on your rankings using the 'Awards and Allocations' document in the judging toolkit.</t>
    </r>
  </si>
  <si>
    <r>
      <t xml:space="preserve">As you work with the OJS you should </t>
    </r>
    <r>
      <rPr>
        <b/>
        <sz val="20"/>
        <color theme="1"/>
        <rFont val="Calibri"/>
        <family val="2"/>
        <scheme val="minor"/>
      </rPr>
      <t>save your spreadsheet regularly</t>
    </r>
    <r>
      <rPr>
        <sz val="20"/>
        <color theme="1"/>
        <rFont val="Calibri"/>
        <family val="2"/>
        <scheme val="minor"/>
      </rPr>
      <t xml:space="preserve"> in case of IT issues.</t>
    </r>
  </si>
  <si>
    <t>DESIGNED FOR USE IN MICROSOFT EXCEL (DESKTOP APP).
SOME FUNCTIONALITY WILL BE LOST IN WEB OR OTHER APPLICATIONS.</t>
  </si>
  <si>
    <r>
      <t xml:space="preserve">If you have Macros enabled then you can </t>
    </r>
    <r>
      <rPr>
        <b/>
        <sz val="36"/>
        <color theme="1"/>
        <rFont val="Calibri"/>
        <family val="2"/>
        <scheme val="minor"/>
      </rPr>
      <t>press the 'Update Teams' button</t>
    </r>
    <r>
      <rPr>
        <sz val="36"/>
        <color theme="1"/>
        <rFont val="Calibri"/>
        <family val="2"/>
        <scheme val="minor"/>
      </rPr>
      <t xml:space="preserve">. This will copy the team information onto each corresponding page. If not, then you need to copy and paste the team numbers into the 'Results and Rankings', 'Robot Game Scores' and all 'Input' pages. </t>
    </r>
  </si>
  <si>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</si>
  <si>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r>
      <t xml:space="preserve">Collect the rubric scores from the judges and the robot game scores (including </t>
    </r>
    <r>
      <rPr>
        <i/>
        <sz val="36"/>
        <color theme="1"/>
        <rFont val="Calibri"/>
        <family val="2"/>
        <scheme val="minor"/>
      </rPr>
      <t>Gracious Professionalism</t>
    </r>
    <r>
      <rPr>
        <sz val="36"/>
        <color theme="1"/>
        <rFont val="Calibri"/>
        <family val="2"/>
        <scheme val="minor"/>
      </rPr>
      <t xml:space="preserve">® scores) from the referees throughout the event and </t>
    </r>
    <r>
      <rPr>
        <b/>
        <sz val="36"/>
        <color theme="1"/>
        <rFont val="Calibri"/>
        <family val="2"/>
        <scheme val="minor"/>
      </rPr>
      <t>enter the data</t>
    </r>
    <r>
      <rPr>
        <sz val="36"/>
        <color theme="1"/>
        <rFont val="Calibri"/>
        <family val="2"/>
        <scheme val="minor"/>
      </rPr>
      <t xml:space="preserve"> into the corresponding pages of this spreadsheet.</t>
    </r>
  </si>
  <si>
    <r>
      <t xml:space="preserve">If your event uses more than 3 official robot game matches, you can unhide columns F-G in 'Robot Game Scores' and columns P-Q in 'Core Values Input' for </t>
    </r>
    <r>
      <rPr>
        <i/>
        <sz val="20"/>
        <color theme="1"/>
        <rFont val="Calibri"/>
        <family val="2"/>
        <scheme val="minor"/>
      </rPr>
      <t xml:space="preserve">Gracious Professionalism </t>
    </r>
    <r>
      <rPr>
        <sz val="20"/>
        <color theme="1"/>
        <rFont val="Calibri"/>
        <family val="2"/>
        <scheme val="minor"/>
      </rPr>
      <t>scores.</t>
    </r>
  </si>
  <si>
    <t>Design - Building/Coding</t>
  </si>
  <si>
    <t>Identify - Define</t>
  </si>
  <si>
    <t>Iterate - Improvement</t>
  </si>
  <si>
    <t>Identify - Research (CV)</t>
  </si>
  <si>
    <t>Design - Teamwork (CV)</t>
  </si>
  <si>
    <t>Create - Innovation (CV)</t>
  </si>
  <si>
    <t>Communicate - Impact (CV)</t>
  </si>
  <si>
    <t>Communicate - Fun (CV)</t>
  </si>
  <si>
    <t>Design - Ideas (CV)</t>
  </si>
  <si>
    <t>Iterate - Improvements (CV)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</si>
</sst>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0.0"/>
    <numFmt numFmtId="166" formatCode="0;\-0;;@"/>
  </numFmts>
  <fonts count="40"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i/>
      <sz val="20"/>
      <color theme="1"/>
      <name val="Calibri"/>
      <family val="2"/>
      <scheme val="minor"/>
    </font>
    <font>
      <b/>
      <sz val="20"/>
      <color theme="1"/>
      <name val="Calibri"/>
      <family val="2"/>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2"/>
      <color rgb="FF000000"/>
      <name val="Calibri"/>
      <family val="2"/>
    </font>
    <font>
      <b/>
      <sz val="16"/>
      <color theme="1"/>
      <name val="Calibri"/>
      <family val="2"/>
      <scheme val="minor"/>
    </font>
    <font>
      <sz val="16"/>
      <color theme="1"/>
      <name val="Calibri"/>
      <family val="2"/>
      <scheme val="minor"/>
    </font>
    <font>
      <sz val="12"/>
      <name val="Calibri"/>
      <family val="2"/>
      <scheme val="minor"/>
    </font>
    <font>
      <sz val="11"/>
      <name val="Calibri"/>
      <family val="2"/>
      <scheme val="minor"/>
    </font>
    <font>
      <b/>
      <sz val="12"/>
      <name val="Calibri"/>
      <family val="2"/>
      <scheme val="minor"/>
    </font>
    <font>
      <sz val="8"/>
      <name val="Calibri"/>
      <family val="2"/>
      <scheme val="minor"/>
    </font>
    <font>
      <sz val="11"/>
      <color rgb="FF000000"/>
      <name val="Calibri"/>
      <family val="2"/>
      <scheme val="minor"/>
    </font>
    <font>
      <sz val="11"/>
      <color theme="0"/>
      <name val="Calibri"/>
      <family val="2"/>
      <scheme val="minor"/>
    </font>
    <font>
      <b/>
      <sz val="18"/>
      <color theme="0"/>
      <name val="Calibri"/>
      <family val="2"/>
      <scheme val="minor"/>
    </font>
    <font>
      <sz val="12"/>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i/>
      <sz val="36"/>
      <color theme="1"/>
      <name val="Calibri"/>
      <family val="2"/>
      <scheme val="minor"/>
    </font>
    <font>
      <sz val="20"/>
      <color theme="1"/>
      <name val="Calibri"/>
      <family val="2"/>
      <scheme val="minor"/>
    </font>
    <font>
      <b/>
      <sz val="11"/>
      <color rgb="FFFF0000"/>
      <name val="Calibri"/>
      <family val="2"/>
      <scheme val="minor"/>
    </font>
    <font>
      <b/>
      <sz val="9"/>
      <color rgb="FFFF0000"/>
      <name val="Calibri"/>
      <family val="2"/>
      <scheme val="minor"/>
    </font>
    <font>
      <sz val="16"/>
      <color rgb="FF000000"/>
      <name val="Calibri"/>
      <family val="2"/>
    </font>
    <font>
      <i/>
      <sz val="12"/>
      <color rgb="FFFF0000"/>
      <name val="Calibri"/>
      <family val="2"/>
      <scheme val="minor"/>
    </font>
    <font>
      <i/>
      <sz val="11"/>
      <color rgb="FFFF0000"/>
      <name val="Calibri"/>
      <family val="2"/>
      <scheme val="minor"/>
    </font>
    <font>
      <b/>
      <sz val="36"/>
      <color theme="1"/>
      <name val="Calibri"/>
      <family val="2"/>
      <scheme val="minor"/>
    </font>
    <font>
      <i/>
      <sz val="22"/>
      <color theme="1"/>
      <name val="Calibri"/>
      <family val="2"/>
      <scheme val="minor"/>
    </font>
    <font>
      <i/>
      <sz val="20"/>
      <color theme="1"/>
      <name val="Calibri"/>
      <family val="2"/>
      <scheme val="minor"/>
    </font>
    <font>
      <b/>
      <u/>
      <sz val="28"/>
      <color rgb="FFFF0000"/>
      <name val="Calibri"/>
      <family val="2"/>
      <scheme val="minor"/>
    </font>
    <font>
      <b/>
      <i/>
      <sz val="14"/>
      <color theme="0"/>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89999084444715716"/>
        <bgColor indexed="64"/>
      </patternFill>
    </fill>
    <fill>
      <patternFill patternType="solid">
        <fgColor theme="0" tint="-0.14999847407452621"/>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ck">
        <color rgb="FF7030A0"/>
      </left>
      <right style="thick">
        <color rgb="FF7030A0"/>
      </right>
      <top style="thick">
        <color rgb="FF7030A0"/>
      </top>
      <bottom style="thick">
        <color rgb="FF7030A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s>
  <cellStyleXfs count="1">
    <xf numFmtId="0" fontId="0" fillId="0" borderId="0"/>
  </cellStyleXfs>
  <cellXfs count="146">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0" fontId="9" fillId="0" borderId="0" xfId="0" applyFont="1" applyAlignment="1">
      <alignment vertical="top"/>
    </xf>
    <xf numFmtId="0" fontId="13" fillId="0" borderId="3" xfId="0" applyFont="1" applyBorder="1" applyAlignment="1">
      <alignment horizontal="center" vertical="center"/>
    </xf>
    <xf numFmtId="0" fontId="0" fillId="0" borderId="0" xfId="0" applyAlignment="1" applyProtection="1">
      <alignment vertical="center"/>
      <protection locked="0"/>
    </xf>
    <xf numFmtId="0" fontId="2" fillId="0" borderId="0" xfId="0" applyFont="1" applyAlignment="1" applyProtection="1">
      <alignment horizontal="center" vertical="center"/>
      <protection locked="0"/>
    </xf>
    <xf numFmtId="0" fontId="3" fillId="9" borderId="1"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5" borderId="1" xfId="0" applyFont="1" applyFill="1" applyBorder="1" applyAlignment="1">
      <alignment horizontal="center" vertical="center" wrapText="1"/>
    </xf>
    <xf numFmtId="1" fontId="11" fillId="8" borderId="1" xfId="0" applyNumberFormat="1" applyFont="1" applyFill="1" applyBorder="1" applyAlignment="1">
      <alignment horizontal="center" vertical="center" wrapText="1"/>
    </xf>
    <xf numFmtId="0" fontId="11" fillId="8" borderId="1" xfId="0" applyFont="1" applyFill="1" applyBorder="1" applyAlignment="1">
      <alignment horizontal="center" vertical="center" wrapText="1"/>
    </xf>
    <xf numFmtId="0" fontId="11" fillId="4" borderId="1" xfId="0" applyFont="1" applyFill="1" applyBorder="1" applyAlignment="1">
      <alignment horizontal="center" vertical="center" textRotation="90" wrapText="1"/>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164" fontId="4" fillId="0" borderId="0" xfId="0" applyNumberFormat="1" applyFont="1" applyAlignment="1">
      <alignment horizontal="left" vertical="center"/>
    </xf>
    <xf numFmtId="164" fontId="2" fillId="0" borderId="0" xfId="0" applyNumberFormat="1" applyFont="1" applyAlignment="1" applyProtection="1">
      <alignment horizontal="center" vertical="center"/>
      <protection locked="0"/>
    </xf>
    <xf numFmtId="164" fontId="0" fillId="0" borderId="0" xfId="0" applyNumberFormat="1" applyAlignment="1">
      <alignment vertical="center"/>
    </xf>
    <xf numFmtId="0" fontId="13" fillId="0" borderId="0" xfId="0" applyFont="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164" fontId="3" fillId="0" borderId="0" xfId="0" applyNumberFormat="1" applyFont="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1" fontId="15" fillId="0" borderId="0" xfId="0" applyNumberFormat="1" applyFont="1" applyAlignment="1" applyProtection="1">
      <alignment horizontal="center" vertical="center"/>
      <protection locked="0"/>
    </xf>
    <xf numFmtId="0" fontId="15" fillId="0" borderId="0" xfId="0" applyFont="1" applyAlignment="1">
      <alignment horizontal="left" vertical="center"/>
    </xf>
    <xf numFmtId="1" fontId="15" fillId="0" borderId="0" xfId="0" applyNumberFormat="1" applyFont="1" applyAlignment="1">
      <alignment horizontal="center" vertical="center"/>
    </xf>
    <xf numFmtId="1" fontId="16" fillId="0" borderId="0" xfId="0" applyNumberFormat="1" applyFont="1" applyAlignment="1">
      <alignment horizontal="center" vertical="center"/>
    </xf>
    <xf numFmtId="164" fontId="16" fillId="0" borderId="0" xfId="0" applyNumberFormat="1" applyFont="1" applyAlignment="1">
      <alignment horizontal="center" vertical="center"/>
    </xf>
    <xf numFmtId="0" fontId="15" fillId="0" borderId="0" xfId="0" applyFont="1" applyAlignment="1" applyProtection="1">
      <alignment horizontal="center" vertical="center"/>
      <protection locked="0"/>
    </xf>
    <xf numFmtId="164" fontId="15" fillId="0" borderId="0" xfId="0" applyNumberFormat="1" applyFont="1" applyAlignment="1" applyProtection="1">
      <alignment horizontal="center" vertical="center"/>
      <protection locked="0"/>
    </xf>
    <xf numFmtId="2" fontId="15" fillId="0" borderId="0" xfId="0" applyNumberFormat="1" applyFont="1" applyAlignment="1" applyProtection="1">
      <alignment horizontal="center" vertical="center"/>
      <protection locked="0"/>
    </xf>
    <xf numFmtId="0" fontId="16" fillId="0" borderId="0" xfId="0" applyFont="1" applyAlignment="1" applyProtection="1">
      <alignment horizontal="center" vertical="center"/>
      <protection locked="0"/>
    </xf>
    <xf numFmtId="164" fontId="16" fillId="0" borderId="0" xfId="0" applyNumberFormat="1" applyFont="1" applyAlignment="1" applyProtection="1">
      <alignment vertical="center"/>
      <protection locked="0"/>
    </xf>
    <xf numFmtId="164" fontId="15" fillId="0" borderId="0" xfId="0" applyNumberFormat="1" applyFont="1" applyAlignment="1">
      <alignment horizontal="center" vertical="center"/>
    </xf>
    <xf numFmtId="0" fontId="16" fillId="0" borderId="0" xfId="0" applyFont="1" applyAlignment="1" applyProtection="1">
      <alignment vertical="center"/>
      <protection locked="0"/>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11" borderId="0" xfId="0" applyFont="1" applyFill="1" applyAlignment="1">
      <alignment horizontal="center" vertical="center" textRotation="90"/>
    </xf>
    <xf numFmtId="0" fontId="11" fillId="6" borderId="0" xfId="0" applyFont="1" applyFill="1" applyAlignment="1">
      <alignment horizontal="center" vertical="center" textRotation="90"/>
    </xf>
    <xf numFmtId="0" fontId="9" fillId="3" borderId="0" xfId="0" applyFont="1" applyFill="1" applyAlignment="1">
      <alignment horizontal="center" vertical="center"/>
    </xf>
    <xf numFmtId="164" fontId="12" fillId="3" borderId="0" xfId="0" applyNumberFormat="1" applyFont="1" applyFill="1" applyAlignment="1" applyProtection="1">
      <alignment horizontal="center" vertical="center"/>
      <protection locked="0"/>
    </xf>
    <xf numFmtId="0" fontId="3" fillId="10" borderId="0" xfId="0" applyFont="1" applyFill="1" applyAlignment="1">
      <alignment horizontal="center" vertical="center" textRotation="90"/>
    </xf>
    <xf numFmtId="1" fontId="8" fillId="5" borderId="0" xfId="0" applyNumberFormat="1" applyFont="1" applyFill="1" applyAlignment="1">
      <alignment horizontal="center" vertical="center" textRotation="90"/>
    </xf>
    <xf numFmtId="0" fontId="8" fillId="5" borderId="0" xfId="0" applyFont="1" applyFill="1" applyAlignment="1">
      <alignment horizontal="center" vertical="center" textRotation="90"/>
    </xf>
    <xf numFmtId="1" fontId="9" fillId="3" borderId="0" xfId="0" applyNumberFormat="1" applyFont="1" applyFill="1" applyAlignment="1">
      <alignment horizontal="center" vertical="center"/>
    </xf>
    <xf numFmtId="1" fontId="8" fillId="16" borderId="0" xfId="0" applyNumberFormat="1" applyFont="1" applyFill="1" applyAlignment="1">
      <alignment horizontal="center" vertical="center" textRotation="90"/>
    </xf>
    <xf numFmtId="1" fontId="9" fillId="16" borderId="0" xfId="0" applyNumberFormat="1" applyFont="1" applyFill="1" applyAlignment="1">
      <alignment horizontal="center" vertical="center"/>
    </xf>
    <xf numFmtId="0" fontId="0" fillId="16" borderId="0" xfId="0" applyFill="1"/>
    <xf numFmtId="0" fontId="19" fillId="0" borderId="0" xfId="0" applyFont="1"/>
    <xf numFmtId="1" fontId="17" fillId="14" borderId="1" xfId="0" applyNumberFormat="1" applyFont="1" applyFill="1" applyBorder="1" applyAlignment="1">
      <alignment horizontal="center" vertical="center" textRotation="90" wrapText="1"/>
    </xf>
    <xf numFmtId="1" fontId="17" fillId="10" borderId="1" xfId="0" applyNumberFormat="1" applyFont="1" applyFill="1" applyBorder="1" applyAlignment="1">
      <alignment horizontal="center" vertical="center" textRotation="90" wrapText="1"/>
    </xf>
    <xf numFmtId="1" fontId="17" fillId="13" borderId="1" xfId="0" applyNumberFormat="1" applyFont="1" applyFill="1" applyBorder="1" applyAlignment="1">
      <alignment horizontal="center" vertical="center" textRotation="90" wrapText="1"/>
    </xf>
    <xf numFmtId="2" fontId="17" fillId="15" borderId="1" xfId="0" applyNumberFormat="1" applyFont="1" applyFill="1" applyBorder="1" applyAlignment="1">
      <alignment horizontal="center" vertical="center" textRotation="90" wrapText="1"/>
    </xf>
    <xf numFmtId="0" fontId="17"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164" fontId="20" fillId="0" borderId="0" xfId="0" applyNumberFormat="1" applyFont="1" applyAlignment="1" applyProtection="1">
      <alignment vertical="center"/>
      <protection locked="0"/>
    </xf>
    <xf numFmtId="0" fontId="22" fillId="0" borderId="0" xfId="0" applyFont="1" applyAlignment="1" applyProtection="1">
      <alignment horizontal="center" vertical="center"/>
      <protection locked="0"/>
    </xf>
    <xf numFmtId="0" fontId="20" fillId="0" borderId="0" xfId="0" applyFont="1"/>
    <xf numFmtId="0" fontId="1" fillId="0" borderId="0" xfId="0" applyFont="1" applyAlignment="1">
      <alignment horizontal="left" vertical="center"/>
    </xf>
    <xf numFmtId="0" fontId="13" fillId="3" borderId="0" xfId="0" applyFont="1" applyFill="1" applyAlignment="1">
      <alignment horizontal="center" vertical="center"/>
    </xf>
    <xf numFmtId="0" fontId="0" fillId="3" borderId="0" xfId="0" applyFill="1" applyAlignment="1">
      <alignment horizontal="center" vertical="center"/>
    </xf>
    <xf numFmtId="0" fontId="25" fillId="3" borderId="0" xfId="0" applyFont="1" applyFill="1" applyAlignment="1">
      <alignment horizontal="left" vertical="center"/>
    </xf>
    <xf numFmtId="0" fontId="26" fillId="3" borderId="0" xfId="0" applyFont="1" applyFill="1" applyAlignment="1">
      <alignment horizontal="left" vertical="center"/>
    </xf>
    <xf numFmtId="0" fontId="25" fillId="3" borderId="0" xfId="0" applyFont="1" applyFill="1" applyAlignment="1">
      <alignment vertical="top" wrapText="1"/>
    </xf>
    <xf numFmtId="49" fontId="25" fillId="3" borderId="0" xfId="0" applyNumberFormat="1" applyFont="1" applyFill="1" applyAlignment="1">
      <alignment horizontal="left" vertical="center"/>
    </xf>
    <xf numFmtId="0" fontId="1" fillId="3" borderId="0" xfId="0" applyFont="1" applyFill="1" applyAlignment="1">
      <alignment horizontal="center" vertical="center"/>
    </xf>
    <xf numFmtId="0" fontId="23" fillId="0" borderId="0" xfId="0" applyFont="1" applyAlignment="1">
      <alignment horizontal="center" vertical="center"/>
    </xf>
    <xf numFmtId="0" fontId="0" fillId="0" borderId="13" xfId="0" applyBorder="1"/>
    <xf numFmtId="0" fontId="3" fillId="9" borderId="12" xfId="0" applyFont="1" applyFill="1" applyBorder="1" applyAlignment="1">
      <alignment horizontal="center" vertical="center" wrapText="1"/>
    </xf>
    <xf numFmtId="0" fontId="8" fillId="18" borderId="12" xfId="0" applyFont="1" applyFill="1" applyBorder="1" applyAlignment="1">
      <alignment horizontal="center" vertical="center" textRotation="90"/>
    </xf>
    <xf numFmtId="0" fontId="27" fillId="0" borderId="0" xfId="0" applyFont="1" applyAlignment="1">
      <alignment horizontal="center" vertical="center" textRotation="90"/>
    </xf>
    <xf numFmtId="0" fontId="11" fillId="17" borderId="12" xfId="0" applyFont="1" applyFill="1" applyBorder="1" applyAlignment="1">
      <alignment horizontal="center" vertical="center" textRotation="90"/>
    </xf>
    <xf numFmtId="0" fontId="10" fillId="17" borderId="1" xfId="0" applyFont="1" applyFill="1" applyBorder="1" applyAlignment="1">
      <alignment horizontal="center" vertical="center" wrapText="1"/>
    </xf>
    <xf numFmtId="0" fontId="10" fillId="19" borderId="1" xfId="0" applyFont="1" applyFill="1" applyBorder="1" applyAlignment="1">
      <alignment horizontal="center" vertical="center" wrapText="1"/>
    </xf>
    <xf numFmtId="0" fontId="11" fillId="17" borderId="1" xfId="0" applyFont="1" applyFill="1" applyBorder="1" applyAlignment="1">
      <alignment horizontal="center" vertical="center" wrapText="1"/>
    </xf>
    <xf numFmtId="1" fontId="11" fillId="19" borderId="0" xfId="0" applyNumberFormat="1" applyFont="1" applyFill="1" applyAlignment="1">
      <alignment horizontal="center" vertical="center" textRotation="90"/>
    </xf>
    <xf numFmtId="0" fontId="11" fillId="19" borderId="0" xfId="0" applyFont="1" applyFill="1" applyAlignment="1">
      <alignment horizontal="center" vertical="center" textRotation="90"/>
    </xf>
    <xf numFmtId="164" fontId="21" fillId="0" borderId="0" xfId="0" applyNumberFormat="1" applyFont="1" applyAlignment="1">
      <alignment horizontal="left" vertical="center"/>
    </xf>
    <xf numFmtId="164" fontId="20" fillId="0" borderId="0" xfId="0" applyNumberFormat="1" applyFont="1" applyAlignment="1">
      <alignment vertical="center"/>
    </xf>
    <xf numFmtId="0" fontId="4" fillId="20" borderId="4" xfId="0" applyFont="1" applyFill="1" applyBorder="1" applyAlignment="1">
      <alignment horizontal="left" vertical="center"/>
    </xf>
    <xf numFmtId="0" fontId="4" fillId="20" borderId="5" xfId="0" applyFont="1" applyFill="1" applyBorder="1" applyAlignment="1">
      <alignment horizontal="left" vertical="center"/>
    </xf>
    <xf numFmtId="0" fontId="0" fillId="20" borderId="6" xfId="0" applyFill="1" applyBorder="1" applyAlignment="1">
      <alignment vertical="center"/>
    </xf>
    <xf numFmtId="0" fontId="0" fillId="20" borderId="7" xfId="0" applyFill="1" applyBorder="1" applyAlignment="1">
      <alignment horizontal="center" vertical="center"/>
    </xf>
    <xf numFmtId="0" fontId="0" fillId="20" borderId="0" xfId="0" applyFill="1" applyAlignment="1">
      <alignment horizontal="center" vertical="center"/>
    </xf>
    <xf numFmtId="0" fontId="0" fillId="20" borderId="8" xfId="0" applyFill="1" applyBorder="1" applyAlignment="1">
      <alignment horizontal="center" vertical="center"/>
    </xf>
    <xf numFmtId="0" fontId="0" fillId="20" borderId="9" xfId="0" applyFill="1" applyBorder="1" applyAlignment="1">
      <alignment horizontal="center" vertical="center"/>
    </xf>
    <xf numFmtId="0" fontId="0" fillId="20" borderId="10" xfId="0" applyFill="1" applyBorder="1" applyAlignment="1">
      <alignment horizontal="center" vertical="center"/>
    </xf>
    <xf numFmtId="0" fontId="0" fillId="20" borderId="11" xfId="0" applyFill="1" applyBorder="1" applyAlignment="1">
      <alignment horizontal="center" vertical="center"/>
    </xf>
    <xf numFmtId="0" fontId="13" fillId="3" borderId="0" xfId="0" applyFont="1" applyFill="1" applyAlignment="1">
      <alignment horizontal="center" vertical="top"/>
    </xf>
    <xf numFmtId="0" fontId="0" fillId="3" borderId="0" xfId="0" applyFill="1" applyAlignment="1">
      <alignment horizontal="center" vertical="top"/>
    </xf>
    <xf numFmtId="0" fontId="25" fillId="3" borderId="0" xfId="0" applyFont="1" applyFill="1" applyAlignment="1">
      <alignment horizontal="left" vertical="top"/>
    </xf>
    <xf numFmtId="0" fontId="24" fillId="3" borderId="0" xfId="0" applyFont="1" applyFill="1" applyAlignment="1">
      <alignment horizontal="left" vertical="top"/>
    </xf>
    <xf numFmtId="0" fontId="30" fillId="0" borderId="0" xfId="0" applyFont="1" applyAlignment="1">
      <alignment vertical="center" wrapText="1"/>
    </xf>
    <xf numFmtId="0" fontId="3" fillId="11" borderId="0" xfId="0" applyFont="1" applyFill="1" applyAlignment="1">
      <alignment horizontal="center" vertical="center" textRotation="90" wrapText="1"/>
    </xf>
    <xf numFmtId="165" fontId="9" fillId="3" borderId="0" xfId="0" applyNumberFormat="1" applyFont="1" applyFill="1" applyAlignment="1">
      <alignment horizontal="center" vertical="center"/>
    </xf>
    <xf numFmtId="0" fontId="29" fillId="3" borderId="0" xfId="0" applyFont="1" applyFill="1" applyAlignment="1">
      <alignment vertical="center" wrapText="1"/>
    </xf>
    <xf numFmtId="0" fontId="1" fillId="0" borderId="0" xfId="0" applyFont="1" applyAlignment="1">
      <alignment horizontal="center" vertical="center"/>
    </xf>
    <xf numFmtId="0" fontId="9" fillId="0" borderId="0" xfId="0" applyFont="1" applyAlignment="1">
      <alignment horizontal="left" vertical="center"/>
    </xf>
    <xf numFmtId="0" fontId="1" fillId="3" borderId="0" xfId="0" applyFont="1" applyFill="1" applyAlignment="1" applyProtection="1">
      <alignment horizontal="center" vertical="center"/>
      <protection locked="0"/>
    </xf>
    <xf numFmtId="0" fontId="1" fillId="3" borderId="0" xfId="0" applyFont="1" applyFill="1" applyAlignment="1">
      <alignment horizontal="left" vertical="center"/>
    </xf>
    <xf numFmtId="0" fontId="3" fillId="18" borderId="0" xfId="0" applyFont="1" applyFill="1" applyAlignment="1">
      <alignment horizontal="center" vertical="center" textRotation="90" wrapText="1"/>
    </xf>
    <xf numFmtId="0" fontId="33" fillId="3" borderId="0" xfId="0" applyFont="1" applyFill="1" applyAlignment="1" applyProtection="1">
      <alignment horizontal="center" vertical="center"/>
      <protection locked="0"/>
    </xf>
    <xf numFmtId="0" fontId="34" fillId="0" borderId="0" xfId="0" applyFont="1"/>
    <xf numFmtId="0" fontId="33" fillId="3" borderId="0" xfId="0" applyFont="1" applyFill="1" applyAlignment="1">
      <alignment horizontal="center" vertical="center"/>
    </xf>
    <xf numFmtId="166" fontId="11" fillId="17" borderId="12" xfId="0" applyNumberFormat="1" applyFont="1" applyFill="1" applyBorder="1" applyAlignment="1">
      <alignment horizontal="center" vertical="center" textRotation="90" wrapText="1"/>
    </xf>
    <xf numFmtId="166" fontId="23" fillId="0" borderId="0" xfId="0" applyNumberFormat="1" applyFont="1" applyAlignment="1">
      <alignment horizontal="center" vertical="center"/>
    </xf>
    <xf numFmtId="0" fontId="29" fillId="3" borderId="0" xfId="0" applyFont="1" applyFill="1" applyAlignment="1">
      <alignment horizontal="left" vertical="top"/>
    </xf>
    <xf numFmtId="166" fontId="9" fillId="3" borderId="0" xfId="0" applyNumberFormat="1" applyFont="1" applyFill="1" applyAlignment="1">
      <alignment horizontal="center" vertical="center"/>
    </xf>
    <xf numFmtId="0" fontId="11" fillId="6" borderId="0" xfId="0" applyFont="1" applyFill="1" applyAlignment="1">
      <alignment horizontal="center" vertical="center" textRotation="90" wrapText="1"/>
    </xf>
    <xf numFmtId="0" fontId="39" fillId="16" borderId="0" xfId="0" applyFont="1" applyFill="1" applyAlignment="1">
      <alignment horizontal="center" vertical="center" textRotation="90"/>
    </xf>
    <xf numFmtId="0" fontId="3" fillId="4" borderId="0" xfId="0" applyFont="1" applyFill="1" applyAlignment="1">
      <alignment horizontal="center" vertical="center" textRotation="90"/>
    </xf>
    <xf numFmtId="0" fontId="29" fillId="21" borderId="4" xfId="0" applyFont="1" applyFill="1" applyBorder="1" applyAlignment="1">
      <alignment horizontal="center" vertical="center" wrapText="1"/>
    </xf>
    <xf numFmtId="0" fontId="29" fillId="21" borderId="5" xfId="0" applyFont="1" applyFill="1" applyBorder="1" applyAlignment="1">
      <alignment horizontal="center" vertical="center" wrapText="1"/>
    </xf>
    <xf numFmtId="0" fontId="29" fillId="21" borderId="6" xfId="0" applyFont="1" applyFill="1" applyBorder="1" applyAlignment="1">
      <alignment horizontal="center" vertical="center" wrapText="1"/>
    </xf>
    <xf numFmtId="0" fontId="29" fillId="21" borderId="7" xfId="0" applyFont="1" applyFill="1" applyBorder="1" applyAlignment="1">
      <alignment horizontal="center" vertical="center" wrapText="1"/>
    </xf>
    <xf numFmtId="0" fontId="29" fillId="21" borderId="0" xfId="0" applyFont="1" applyFill="1" applyAlignment="1">
      <alignment horizontal="center" vertical="center" wrapText="1"/>
    </xf>
    <xf numFmtId="0" fontId="29" fillId="21" borderId="8" xfId="0" applyFont="1" applyFill="1" applyBorder="1" applyAlignment="1">
      <alignment horizontal="center" vertical="center" wrapText="1"/>
    </xf>
    <xf numFmtId="0" fontId="29" fillId="21" borderId="9" xfId="0" applyFont="1" applyFill="1" applyBorder="1" applyAlignment="1">
      <alignment horizontal="center" vertical="center" wrapText="1"/>
    </xf>
    <xf numFmtId="0" fontId="29" fillId="21" borderId="10" xfId="0" applyFont="1" applyFill="1" applyBorder="1" applyAlignment="1">
      <alignment horizontal="center" vertical="center" wrapText="1"/>
    </xf>
    <xf numFmtId="0" fontId="29" fillId="21" borderId="11" xfId="0" applyFont="1" applyFill="1" applyBorder="1" applyAlignment="1">
      <alignment horizontal="center" vertical="center" wrapText="1"/>
    </xf>
    <xf numFmtId="0" fontId="25" fillId="3" borderId="0" xfId="0" applyFont="1" applyFill="1" applyAlignment="1">
      <alignment horizontal="left" vertical="center"/>
    </xf>
    <xf numFmtId="0" fontId="25" fillId="3" borderId="0" xfId="0" applyFont="1" applyFill="1" applyAlignment="1">
      <alignment horizontal="left" vertical="top" wrapText="1"/>
    </xf>
    <xf numFmtId="0" fontId="13" fillId="3" borderId="0" xfId="0" applyFont="1" applyFill="1" applyAlignment="1">
      <alignment horizontal="center" vertical="center"/>
    </xf>
    <xf numFmtId="0" fontId="24" fillId="3" borderId="0" xfId="0" applyFont="1" applyFill="1" applyAlignment="1">
      <alignment horizontal="left" vertical="top" wrapText="1"/>
    </xf>
    <xf numFmtId="0" fontId="38" fillId="3" borderId="0" xfId="0" applyFont="1" applyFill="1" applyAlignment="1">
      <alignment horizontal="center" vertical="center" wrapText="1"/>
    </xf>
    <xf numFmtId="0" fontId="5" fillId="2" borderId="0" xfId="0" applyFont="1" applyFill="1" applyAlignment="1">
      <alignment horizontal="center" vertical="center"/>
    </xf>
    <xf numFmtId="0" fontId="31" fillId="0" borderId="5" xfId="0" applyFont="1" applyBorder="1" applyAlignment="1">
      <alignment horizontal="center" vertical="center" wrapText="1"/>
    </xf>
    <xf numFmtId="0" fontId="31" fillId="0" borderId="0" xfId="0" applyFont="1" applyAlignment="1">
      <alignment horizontal="center" vertical="center" wrapText="1"/>
    </xf>
    <xf numFmtId="0" fontId="4" fillId="0" borderId="0" xfId="0" applyFont="1" applyAlignment="1">
      <alignment horizontal="center" vertical="center"/>
    </xf>
  </cellXfs>
  <cellStyles count="1">
    <cellStyle name="Normal" xfId="0" builtinId="0"/>
  </cellStyles>
  <dxfs count="171">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16DB6"/>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0963F"/>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E40613"/>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0B0F0"/>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7030A0"/>
        </patternFill>
      </fill>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rgb="FF000000"/>
        <name val="Calibri"/>
        <scheme val="none"/>
      </font>
      <fill>
        <patternFill>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fgColor indexed="64"/>
          <bgColor theme="0"/>
        </patternFill>
      </fill>
      <alignment horizontal="center" vertical="center" textRotation="90" wrapText="0" indent="0" justifyLastLine="0" shrinkToFit="0" readingOrder="0"/>
      <border diagonalUp="0" diagonalDown="0">
        <left style="thin">
          <color rgb="FFE40613"/>
        </left>
        <right style="thin">
          <color rgb="FFE40613"/>
        </right>
        <top/>
        <bottom/>
        <vertical style="thin">
          <color rgb="FFE40613"/>
        </vertical>
        <horizontal style="thin">
          <color rgb="FFE40613"/>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5"/>
        </patternFill>
      </fill>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center" textRotation="90" wrapText="0" indent="0" justifyLastLine="0" shrinkToFit="0" readingOrder="0"/>
      <border diagonalUp="0" diagonalDown="0">
        <left style="thin">
          <color rgb="FF92D050"/>
        </left>
        <right style="thin">
          <color rgb="FF92D050"/>
        </right>
        <top/>
        <bottom/>
        <vertical style="thin">
          <color rgb="FF92D050"/>
        </vertical>
        <horizontal style="thin">
          <color rgb="FF92D050"/>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i val="0"/>
        <strike val="0"/>
        <condense val="0"/>
        <extend val="0"/>
        <outline val="0"/>
        <shadow val="0"/>
        <u val="none"/>
        <vertAlign val="baseline"/>
        <sz val="12"/>
        <color theme="1"/>
        <name val="Calibri"/>
        <scheme val="minor"/>
      </font>
      <numFmt numFmtId="1" formatCode="0"/>
      <fill>
        <patternFill patternType="solid">
          <fgColor indexed="64"/>
          <bgColor rgb="FFFF000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rgb="FF000000"/>
        <name val="Calibri"/>
        <scheme val="none"/>
      </font>
      <fill>
        <patternFill>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fgColor indexed="64"/>
          <bgColor theme="0"/>
        </patternFill>
      </fill>
      <alignment horizontal="center" vertical="center" textRotation="90" wrapText="0" indent="0" justifyLastLine="0" shrinkToFit="0" readingOrder="0"/>
      <border diagonalUp="0" diagonalDown="0">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64" formatCode=";;;"/>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64"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64"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64"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bottom style="thin">
          <color auto="1"/>
        </bottom>
      </border>
    </dxf>
    <dxf>
      <font>
        <b/>
        <i val="0"/>
        <strike val="0"/>
        <condense val="0"/>
        <extend val="0"/>
        <outline val="0"/>
        <shadow val="0"/>
        <u val="none"/>
        <vertAlign val="baseline"/>
        <sz val="14"/>
        <color auto="1"/>
        <name val="Calibri"/>
        <scheme val="minor"/>
      </font>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border>
      <protection locked="1" hidden="0"/>
    </dxf>
    <dxf>
      <fill>
        <patternFill>
          <bgColor rgb="FFFFFF99"/>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patternType="darkHorizontal">
          <fgColor theme="0"/>
          <bgColor rgb="FFFFC000"/>
        </patternFill>
      </fill>
    </dxf>
    <dxf>
      <fill>
        <patternFill>
          <bgColor rgb="FF00B0F0"/>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fill>
        <patternFill>
          <bgColor theme="5"/>
        </patternFill>
      </fill>
    </dxf>
    <dxf>
      <border>
        <bottom style="thin">
          <color rgb="FF002060"/>
        </bottom>
        <vertical/>
        <horizontal/>
      </border>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numFmt numFmtId="0" formatCode="General"/>
      <alignment horizontal="left" vertical="center" textRotation="0" wrapText="0" indent="0" justifyLastLine="0" shrinkToFit="0" readingOrder="0"/>
    </dxf>
    <dxf>
      <font>
        <strike val="0"/>
        <outline val="0"/>
        <shadow val="0"/>
        <u val="none"/>
        <vertAlign val="baseline"/>
        <sz val="12"/>
        <color theme="1"/>
        <name val="Calibri"/>
        <scheme val="minor"/>
      </font>
      <alignment horizontal="center" vertical="center" textRotation="0" wrapText="0" indent="0" justifyLastLine="0" shrinkToFit="0" readingOrder="0"/>
    </dxf>
    <dxf>
      <font>
        <strike val="0"/>
        <outline val="0"/>
        <shadow val="0"/>
        <u val="none"/>
        <vertAlign val="baseline"/>
        <sz val="12"/>
        <color theme="1"/>
        <name val="Calibri"/>
        <scheme val="minor"/>
      </font>
    </dxf>
    <dxf>
      <font>
        <strike val="0"/>
        <outline val="0"/>
        <shadow val="0"/>
        <u val="none"/>
        <vertAlign val="baseline"/>
        <sz val="16"/>
        <color theme="1"/>
        <name val="Calibri"/>
        <scheme val="minor"/>
      </font>
      <alignment horizontal="center" vertical="center" textRotation="0" wrapText="0" indent="0" justifyLastLine="0" shrinkToFit="0" readingOrder="0"/>
    </dxf>
  </dxfs>
  <tableStyles count="0" defaultTableStyle="TableStyleMedium2" defaultPivotStyle="PivotStyleLight16"/>
  <colors>
    <mruColors>
      <color rgb="FF016DB6"/>
      <color rgb="FFD7D7D7"/>
      <color rgb="FF82CCFE"/>
      <color rgb="FFFFFF99"/>
      <color rgb="FFAD8A56"/>
      <color rgb="FFC9B037"/>
      <color rgb="FFD890CA"/>
      <color rgb="FFFF8181"/>
      <color rgb="FF00963F"/>
      <color rgb="FFE406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199390</xdr:colOff>
      <xdr:row>0</xdr:row>
      <xdr:rowOff>323850</xdr:rowOff>
    </xdr:from>
    <xdr:to>
      <xdr:col>16</xdr:col>
      <xdr:colOff>227244</xdr:colOff>
      <xdr:row>2</xdr:row>
      <xdr:rowOff>398145</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3323590" y="323850"/>
          <a:ext cx="6901094" cy="1245870"/>
        </a:xfrm>
        <a:prstGeom prst="rect">
          <a:avLst/>
        </a:prstGeom>
      </xdr:spPr>
    </xdr:pic>
    <xdr:clientData/>
  </xdr:twoCellAnchor>
  <xdr:twoCellAnchor editAs="oneCell">
    <xdr:from>
      <xdr:col>0</xdr:col>
      <xdr:colOff>323851</xdr:colOff>
      <xdr:row>0</xdr:row>
      <xdr:rowOff>127398</xdr:rowOff>
    </xdr:from>
    <xdr:to>
      <xdr:col>5</xdr:col>
      <xdr:colOff>17145</xdr:colOff>
      <xdr:row>3</xdr:row>
      <xdr:rowOff>92140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323851" y="127398"/>
          <a:ext cx="2830829" cy="17059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220980</xdr:colOff>
          <xdr:row>2</xdr:row>
          <xdr:rowOff>198120</xdr:rowOff>
        </xdr:from>
        <xdr:to>
          <xdr:col>9</xdr:col>
          <xdr:colOff>449580</xdr:colOff>
          <xdr:row>4</xdr:row>
          <xdr:rowOff>335280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Update Teams</a:t>
              </a:r>
            </a:p>
            <a:p>
              <a:pPr algn="ctr" rtl="0">
                <a:defRPr sz="1000"/>
              </a:pPr>
              <a:r>
                <a:rPr lang="en-US" sz="1600" b="0" i="0" u="none" strike="noStrike" baseline="0">
                  <a:solidFill>
                    <a:srgbClr val="000000"/>
                  </a:solidFill>
                  <a:latin typeface="Calibri"/>
                  <a:cs typeface="Calibri"/>
                </a:rPr>
                <a:t>(Click Here)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OfficialTeamList" displayName="OfficialTeamList" ref="C2:F62" totalsRowShown="0" headerRowDxfId="170" dataDxfId="169">
  <autoFilter ref="C2:F62" xr:uid="{00000000-0009-0000-0100-000005000000}"/>
  <sortState xmlns:xlrd2="http://schemas.microsoft.com/office/spreadsheetml/2017/richdata2" ref="C3:F62">
    <sortCondition ref="C2:C62"/>
  </sortState>
  <tableColumns count="4">
    <tableColumn id="1" xr3:uid="{00000000-0010-0000-0000-000001000000}" name="Team Number" dataDxfId="168"/>
    <tableColumn id="2" xr3:uid="{00000000-0010-0000-0000-000002000000}" name="Team Name" dataDxfId="167"/>
    <tableColumn id="3" xr3:uid="{00000000-0010-0000-0000-000003000000}" name="Coach" dataDxfId="166"/>
    <tableColumn id="4" xr3:uid="{00000000-0010-0000-0000-000004000000}" name="Pod Number" dataDxfId="1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ournamentData" displayName="TournamentData" ref="A2:Z110" totalsRowShown="0" headerRowDxfId="155" dataDxfId="153" headerRowBorderDxfId="154">
  <autoFilter ref="A2:Z110" xr:uid="{00000000-0009-0000-0100-000001000000}"/>
  <sortState xmlns:xlrd2="http://schemas.microsoft.com/office/spreadsheetml/2017/richdata2" ref="A3:Z110">
    <sortCondition ref="N2:N110"/>
  </sortState>
  <tableColumns count="26">
    <tableColumn id="1" xr3:uid="{00000000-0010-0000-0100-000001000000}" name="Team Number" dataDxfId="152"/>
    <tableColumn id="2" xr3:uid="{00000000-0010-0000-0100-000002000000}" name="Team Name" dataDxfId="151">
      <calculatedColumnFormula>IF(ISNA(INDEX(OfficialTeamList[Team Name],MATCH(TournamentData[[#This Row],[Team Number]], OfficialTeamList[Team Number],0))),"",INDEX(OfficialTeamList[Team Name],MATCH(TournamentData[[#This Row],[Team Number]], OfficialTeamList[Team Number],0)))</calculatedColumnFormula>
    </tableColumn>
    <tableColumn id="6" xr3:uid="{00000000-0010-0000-0100-000006000000}" name="Robot Game Score 1" dataDxfId="150">
      <calculatedColumnFormula>IF(TournamentData[[#This Row],[Team Number]]="","",IF(ISNA(INDEX('Robot Game Scores'!C:C,MATCH(TournamentData[[#This Row],[Team Number]], 'Robot Game Scores'!$B:$B,0))),0,INDEX('Robot Game Scores'!C:C,MATCH(TournamentData[[#This Row],[Team Number]], 'Robot Game Scores'!$B:$B,0))))</calculatedColumnFormula>
    </tableColumn>
    <tableColumn id="7" xr3:uid="{00000000-0010-0000-0100-000007000000}" name="Robot Game Score 2" dataDxfId="149">
      <calculatedColumnFormula>IF(TournamentData[[#This Row],[Team Number]]="","",IF(ISNA(INDEX('Robot Game Scores'!D:D,MATCH(TournamentData[[#This Row],[Team Number]], 'Robot Game Scores'!$B:$B,0))),0,INDEX('Robot Game Scores'!D:D,MATCH(TournamentData[[#This Row],[Team Number]], 'Robot Game Scores'!$B:$B,0))))</calculatedColumnFormula>
    </tableColumn>
    <tableColumn id="8" xr3:uid="{00000000-0010-0000-0100-000008000000}" name="Robot Game Score 3" dataDxfId="148">
      <calculatedColumnFormula>IF(TournamentData[[#This Row],[Team Number]]="","",IF(ISNA(INDEX('Robot Game Scores'!E:E,MATCH(TournamentData[[#This Row],[Team Number]], 'Robot Game Scores'!$B:$B,0))),0,INDEX('Robot Game Scores'!E:E,MATCH(TournamentData[[#This Row],[Team Number]], 'Robot Game Scores'!$B:$B,0))))</calculatedColumnFormula>
    </tableColumn>
    <tableColumn id="16" xr3:uid="{00000000-0010-0000-0100-000010000000}" name="Robot Game Score 4" dataDxfId="147">
      <calculatedColumnFormula>IF(TournamentData[[#This Row],[Team Number]]="","",IF(ISNA(INDEX('Robot Game Scores'!F:F,MATCH(TournamentData[[#This Row],[Team Number]], 'Robot Game Scores'!$B:$B,0))),0,INDEX('Robot Game Scores'!F:F,MATCH(TournamentData[[#This Row],[Team Number]], 'Robot Game Scores'!$B:$B,0))))</calculatedColumnFormula>
    </tableColumn>
    <tableColumn id="9" xr3:uid="{00000000-0010-0000-0100-000009000000}" name="Robot Game Score 5" dataDxfId="146">
      <calculatedColumnFormula>IF(TournamentData[[#This Row],[Team Number]]="","",IF(ISNA(INDEX('Robot Game Scores'!G:G,MATCH(TournamentData[[#This Row],[Team Number]], 'Robot Game Scores'!$B:$B,0))),0,INDEX('Robot Game Scores'!G:G,MATCH(TournamentData[[#This Row],[Team Number]], 'Robot Game Scores'!$B:$B,0))))</calculatedColumnFormula>
    </tableColumn>
    <tableColumn id="10" xr3:uid="{00000000-0010-0000-0100-00000A000000}" name="Max Robot Game Score" dataDxfId="145">
      <calculatedColumnFormula>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calculatedColumnFormula>
    </tableColumn>
    <tableColumn id="15" xr3:uid="{00000000-0010-0000-0100-00000F000000}" name="Robot Game Rank" dataDxfId="144">
      <calculatedColumnFormula>IF(TournamentData[[#This Row],[Team Number]]="","",_xlfn.RANK.EQ(TournamentData[[#This Row],[Max Robot Game Score]],TournamentData[Max Robot Game Score]))</calculatedColumnFormula>
    </tableColumn>
    <tableColumn id="3" xr3:uid="{00000000-0010-0000-0100-000003000000}" name="Core Values Rank" dataDxfId="143">
      <calculatedColumnFormula>IF(TournamentData[[#This Row],[Team Number]]="","",IF(ISNA(INDEX(CoreValuesResults[Core Values Rank],MATCH(TournamentData[[#This Row],[Team Number]],CoreValuesResults[Team Number],0))),NumberOfTeams+1,INDEX(CoreValuesResults[Core Values Rank],MATCH(TournamentData[[#This Row],[Team Number]],CoreValuesResults[Team Number],0))))</calculatedColumnFormula>
    </tableColumn>
    <tableColumn id="4" xr3:uid="{00000000-0010-0000-0100-000004000000}" name="Innovation Project Rank" dataDxfId="142">
      <calculatedColumnFormula>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calculatedColumnFormula>
    </tableColumn>
    <tableColumn id="5" xr3:uid="{00000000-0010-0000-0100-000005000000}" name="Robot Design Rank" dataDxfId="141">
      <calculatedColumnFormula>IF(TournamentData[[#This Row],[Team Number]]="","",IF(ISNA(INDEX(RobotDesignResults[Robot Design Rank],MATCH(TournamentData[[#This Row],[Team Number]],RobotDesignResults[Team Number],0))),NumberOfTeams+1,INDEX(RobotDesignResults[Robot Design Rank],MATCH(TournamentData[[#This Row],[Team Number]],RobotDesignResults[Team Number],0))))</calculatedColumnFormula>
    </tableColumn>
    <tableColumn id="14" xr3:uid="{00000000-0010-0000-0100-00000E000000}" name="Champion's Score" dataDxfId="140">
      <calculatedColumnFormula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calculatedColumnFormula>
    </tableColumn>
    <tableColumn id="11" xr3:uid="{00000000-0010-0000-0100-00000B000000}" name="Champion's Rank" dataDxfId="139">
      <calculatedColumnFormula>IF(TournamentData[[#This Row],[Team Number]]="","",IF(M3,RANK(M3,M$3:M$110,1)-COUNTIF(M$3:M$110,0),NumberOfTeams+1))</calculatedColumnFormula>
    </tableColumn>
    <tableColumn id="19" xr3:uid="{00000000-0010-0000-0100-000013000000}" name="Breakthrough" dataDxfId="138">
      <calculatedColumnFormula>IF(ISNA(INDEX(CoreValuesResults[Breakthrough Selection],MATCH(TournamentData[[#This Row],[Team Number]],CoreValuesResults[Team Number],0))),0, INDEX(CoreValuesResults[Breakthrough Selection],MATCH(TournamentData[[#This Row],[Team Number]],CoreValuesResults[Team Number],0)))</calculatedColumnFormula>
    </tableColumn>
    <tableColumn id="18" xr3:uid="{00000000-0010-0000-0100-000012000000}" name="Rising All-Star" dataDxfId="137">
      <calculatedColumnFormula>IF(ISNA(INDEX(CoreValuesResults[Rising All-Star Selection],MATCH(TournamentData[[#This Row],[Team Number]],CoreValuesResults[Team Number],0))),0, INDEX(CoreValuesResults[Rising All-Star Selection],MATCH(TournamentData[[#This Row],[Team Number]],CoreValuesResults[Team Number],0)))</calculatedColumnFormula>
    </tableColumn>
    <tableColumn id="17" xr3:uid="{00000000-0010-0000-0100-000011000000}" name="Motivate" dataDxfId="136">
      <calculatedColumnFormula>IF(ISNA(INDEX(CoreValuesResults[Motivate Selection],MATCH(TournamentData[[#This Row],[Team Number]],CoreValuesResults[Team Number],0))),0, INDEX(CoreValuesResults[Motivate Selection],MATCH(TournamentData[[#This Row],[Team Number]],CoreValuesResults[Team Number],0)))</calculatedColumnFormula>
    </tableColumn>
    <tableColumn id="12" xr3:uid="{00000000-0010-0000-0100-00000C000000}" name="Award" dataDxfId="135"/>
    <tableColumn id="13" xr3:uid="{00000000-0010-0000-0100-00000D000000}" name="Award Place" dataDxfId="134"/>
    <tableColumn id="21" xr3:uid="{00000000-0010-0000-0100-000015000000}" name="Advance?" dataDxfId="133"/>
    <tableColumn id="28" xr3:uid="{00000000-0010-0000-0100-00001C000000}" name="Core Values Score" dataDxfId="132">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100-00001B000000}" name="Innovattion Project Score" dataDxfId="131">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100-00001A000000}" name="Robot Design Score" dataDxfId="130">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100-000019000000}" name="Overall Score - Geometric Mean" dataDxfId="129">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100-000018000000}" name="Overall Ranking - Geometric Mean" dataDxfId="128">
      <calculatedColumnFormula>IF(X3,_xlfn.RANK.EQ(X3,X$3:X$110,0),NumberOfTeams)</calculatedColumnFormula>
    </tableColumn>
    <tableColumn id="20" xr3:uid="{00000000-0010-0000-0100-000014000000}" name="Comments" dataDxfId="1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InnovationProjectResults" displayName="InnovationProjectResults" ref="A1:O109" totalsRowShown="0" headerRowDxfId="120" dataDxfId="119">
  <autoFilter ref="A1:O109" xr:uid="{00000000-0009-0000-0100-000004000000}"/>
  <sortState xmlns:xlrd2="http://schemas.microsoft.com/office/spreadsheetml/2017/richdata2" ref="A2:O109">
    <sortCondition ref="A1:A109"/>
  </sortState>
  <tableColumns count="15">
    <tableColumn id="1" xr3:uid="{00000000-0010-0000-0300-000001000000}" name="Team Number" dataDxfId="118"/>
    <tableColumn id="2" xr3:uid="{00000000-0010-0000-0300-000002000000}" name="Team Name" dataDxfId="117">
      <calculatedColumnFormula>IF(ISNA(INDEX(OfficialTeamList[Team Name],MATCH(InnovationProjectResults[[#This Row],[Team Number]], OfficialTeamList[Team Number],0))),"",INDEX(OfficialTeamList[Team Name],MATCH(InnovationProjectResults[[#This Row],[Team Number]], OfficialTeamList[Team Number],0)))</calculatedColumnFormula>
    </tableColumn>
    <tableColumn id="3" xr3:uid="{00000000-0010-0000-0300-000003000000}" name="Identify - Define" dataDxfId="116">
      <calculatedColumnFormula>FLOOR(RAND()*5,1)</calculatedColumnFormula>
    </tableColumn>
    <tableColumn id="4" xr3:uid="{00000000-0010-0000-0300-000004000000}" name="Identify - Research (CV)" dataDxfId="115">
      <calculatedColumnFormula>FLOOR(RAND()*5,1)</calculatedColumnFormula>
    </tableColumn>
    <tableColumn id="5" xr3:uid="{00000000-0010-0000-0300-000005000000}" name="Design - Plan" dataDxfId="114">
      <calculatedColumnFormula>FLOOR(RAND()*5,1)</calculatedColumnFormula>
    </tableColumn>
    <tableColumn id="7" xr3:uid="{00000000-0010-0000-0300-000007000000}" name="Design - Teamwork (CV)" dataDxfId="113">
      <calculatedColumnFormula>FLOOR(RAND()*5,1)</calculatedColumnFormula>
    </tableColumn>
    <tableColumn id="10" xr3:uid="{00000000-0010-0000-0300-00000A000000}" name="Create - Innovation (CV)" dataDxfId="112">
      <calculatedColumnFormula>FLOOR(RAND()*5,1)</calculatedColumnFormula>
    </tableColumn>
    <tableColumn id="8" xr3:uid="{00000000-0010-0000-0300-000008000000}" name="Create - Model" dataDxfId="111">
      <calculatedColumnFormula>FLOOR(RAND()*5,1)</calculatedColumnFormula>
    </tableColumn>
    <tableColumn id="9" xr3:uid="{00000000-0010-0000-0300-000009000000}" name="Iterate - Sharing" dataDxfId="110">
      <calculatedColumnFormula>FLOOR(RAND()*5,1)</calculatedColumnFormula>
    </tableColumn>
    <tableColumn id="11" xr3:uid="{00000000-0010-0000-0300-00000B000000}" name="Iterate - Improvement" dataDxfId="109">
      <calculatedColumnFormula>FLOOR(RAND()*5,1)</calculatedColumnFormula>
    </tableColumn>
    <tableColumn id="12" xr3:uid="{00000000-0010-0000-0300-00000C000000}" name="Communicate - Impact (CV)" dataDxfId="108">
      <calculatedColumnFormula>FLOOR(RAND()*5,1)</calculatedColumnFormula>
    </tableColumn>
    <tableColumn id="13" xr3:uid="{00000000-0010-0000-0300-00000D000000}" name="Communicate - Fun (CV)" dataDxfId="107">
      <calculatedColumnFormula>FLOOR(RAND()*5,1)</calculatedColumnFormula>
    </tableColumn>
    <tableColumn id="19" xr3:uid="{00000000-0010-0000-0300-000013000000}" name="Innovation Project Score" dataDxfId="106">
      <calculatedColumnFormula>SUM(InnovationProjectResults[[#This Row],[Identify - Define]:[Communicate - Fun (CV)]])</calculatedColumnFormula>
    </tableColumn>
    <tableColumn id="20" xr3:uid="{00000000-0010-0000-0300-000014000000}" name="Innovation Project Rank" dataDxfId="105">
      <calculatedColumnFormula>IF(InnovationProjectResults[[#This Row],[Team Number]]&gt;0,MIN(_xlfn.RANK.EQ(InnovationProjectResults[[#This Row],[Innovation Project Score]],InnovationProjectResults[Innovation Project Score],0),NumberOfTeams),NumberOfTeams+1)</calculatedColumnFormula>
    </tableColumn>
    <tableColumn id="6" xr3:uid="{00000000-0010-0000-0300-000006000000}" name="GIA Score" dataDxfId="104">
      <calculatedColumnFormula>SUM(InnovationProjectResults[[#This Row],[Design - Teamwork (CV)]:[Iterate - Sharing]])</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RobotDesignResults" displayName="RobotDesignResults" ref="A1:N109" totalsRowShown="0" headerRowDxfId="99" dataDxfId="98">
  <autoFilter ref="A1:N109" xr:uid="{00000000-0009-0000-0100-000002000000}"/>
  <sortState xmlns:xlrd2="http://schemas.microsoft.com/office/spreadsheetml/2017/richdata2" ref="A2:N109">
    <sortCondition ref="A1:A109"/>
  </sortState>
  <tableColumns count="14">
    <tableColumn id="1" xr3:uid="{00000000-0010-0000-0400-000001000000}" name="Team Number" dataDxfId="97"/>
    <tableColumn id="2" xr3:uid="{00000000-0010-0000-0400-000002000000}" name="Team Name" dataDxfId="96">
      <calculatedColumnFormula>IF(ISNA(INDEX(OfficialTeamList[Team Name],MATCH(RobotDesignResults[[#This Row],[Team Number]], OfficialTeamList[Team Number],0))),"",INDEX(OfficialTeamList[Team Name],MATCH(RobotDesignResults[[#This Row],[Team Number]], OfficialTeamList[Team Number],0)))</calculatedColumnFormula>
    </tableColumn>
    <tableColumn id="3" xr3:uid="{00000000-0010-0000-0400-000003000000}" name="Identify - Strategy" dataDxfId="95">
      <calculatedColumnFormula>FLOOR(RAND()*5,1)</calculatedColumnFormula>
    </tableColumn>
    <tableColumn id="4" xr3:uid="{00000000-0010-0000-0400-000004000000}" name="Identify - Research (CV)" dataDxfId="94">
      <calculatedColumnFormula>FLOOR(RAND()*5,1)</calculatedColumnFormula>
    </tableColumn>
    <tableColumn id="5" xr3:uid="{00000000-0010-0000-0400-000005000000}" name="Design - Ideas (CV)" dataDxfId="93">
      <calculatedColumnFormula>FLOOR(RAND()*5,1)</calculatedColumnFormula>
    </tableColumn>
    <tableColumn id="7" xr3:uid="{00000000-0010-0000-0400-000007000000}" name="Design - Building/Coding" dataDxfId="92">
      <calculatedColumnFormula>FLOOR(RAND()*5,1)</calculatedColumnFormula>
    </tableColumn>
    <tableColumn id="6" xr3:uid="{00000000-0010-0000-0400-000006000000}" name="Create - Attachments" dataDxfId="91">
      <calculatedColumnFormula>FLOOR(RAND()*5,1)</calculatedColumnFormula>
    </tableColumn>
    <tableColumn id="8" xr3:uid="{00000000-0010-0000-0400-000008000000}" name="Create - Code/ Sensors" dataDxfId="90">
      <calculatedColumnFormula>FLOOR(RAND()*5,1)</calculatedColumnFormula>
    </tableColumn>
    <tableColumn id="9" xr3:uid="{00000000-0010-0000-0400-000009000000}" name="Iterate - Testing" dataDxfId="89">
      <calculatedColumnFormula>FLOOR(RAND()*5,1)</calculatedColumnFormula>
    </tableColumn>
    <tableColumn id="11" xr3:uid="{00000000-0010-0000-0400-00000B000000}" name="Iterate - Improvements (CV)" dataDxfId="88">
      <calculatedColumnFormula>FLOOR(RAND()*5,1)</calculatedColumnFormula>
    </tableColumn>
    <tableColumn id="12" xr3:uid="{00000000-0010-0000-0400-00000C000000}" name="Communicate - Impact (CV)" dataDxfId="87">
      <calculatedColumnFormula>FLOOR(RAND()*5,1)</calculatedColumnFormula>
    </tableColumn>
    <tableColumn id="13" xr3:uid="{00000000-0010-0000-0400-00000D000000}" name="Communicate - Fun (CV)" dataDxfId="86">
      <calculatedColumnFormula>FLOOR(RAND()*5,1)</calculatedColumnFormula>
    </tableColumn>
    <tableColumn id="19" xr3:uid="{00000000-0010-0000-0400-000013000000}" name="Robot Design Score" dataDxfId="85">
      <calculatedColumnFormula>SUM(RobotDesignResults[[#This Row],[Identify - Strategy]:[Communicate - Fun (CV)]])</calculatedColumnFormula>
    </tableColumn>
    <tableColumn id="20" xr3:uid="{00000000-0010-0000-0400-000014000000}" name="Robot Design Rank" dataDxfId="84">
      <calculatedColumnFormula>IF(RobotDesignResults[[#This Row],[Team Number]]&gt;0,MIN(_xlfn.RANK.EQ(RobotDesignResults[[#This Row],[Robot Design Score]],RobotDesignResults[Robot Design Score],0),NumberOfTeams),NumberOfTeams+1)</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CoreValuesResults" displayName="CoreValuesResults" ref="A1:Y109" totalsRowShown="0" headerRowDxfId="74" dataDxfId="73">
  <autoFilter ref="A1:Y109" xr:uid="{00000000-0009-0000-0100-000003000000}"/>
  <sortState xmlns:xlrd2="http://schemas.microsoft.com/office/spreadsheetml/2017/richdata2" ref="A2:Q109">
    <sortCondition ref="A1:A109"/>
  </sortState>
  <tableColumns count="25">
    <tableColumn id="1" xr3:uid="{00000000-0010-0000-0200-000001000000}" name="Team Number" dataDxfId="72"/>
    <tableColumn id="2" xr3:uid="{00000000-0010-0000-0200-000002000000}" name="Team Name" dataDxfId="71">
      <calculatedColumnFormula>IF(ISNA(INDEX(OfficialTeamList[Team Name],MATCH(CoreValuesResults[[#This Row],[Team Number]], OfficialTeamList[Team Number],0))),"",INDEX(OfficialTeamList[Team Name],MATCH(CoreValuesResults[[#This Row],[Team Number]], OfficialTeamList[Team Number],0)))</calculatedColumnFormula>
    </tableColumn>
    <tableColumn id="3" xr3:uid="{00000000-0010-0000-0200-000003000000}" name="Discovery (IP)" dataDxfId="70">
      <calculatedColumnFormula>'Innovation Project Input'!D2</calculatedColumnFormula>
    </tableColumn>
    <tableColumn id="4" xr3:uid="{00000000-0010-0000-0200-000004000000}" name="Teamwork (IP)" dataDxfId="69">
      <calculatedColumnFormula>InnovationProjectResults[[#This Row],[Design - Teamwork (CV)]]</calculatedColumnFormula>
    </tableColumn>
    <tableColumn id="5" xr3:uid="{00000000-0010-0000-0200-000005000000}" name="Innovation (IP)" dataDxfId="68">
      <calculatedColumnFormula>InnovationProjectResults[[#This Row],[Create - Innovation (CV)]]</calculatedColumnFormula>
    </tableColumn>
    <tableColumn id="11" xr3:uid="{00000000-0010-0000-0200-00000B000000}" name="Impact (IP)" dataDxfId="67">
      <calculatedColumnFormula>InnovationProjectResults[[#This Row],[Communicate - Impact (CV)]]</calculatedColumnFormula>
    </tableColumn>
    <tableColumn id="12" xr3:uid="{00000000-0010-0000-0200-00000C000000}" name="Fun (IP)" dataDxfId="66">
      <calculatedColumnFormula>InnovationProjectResults[[#This Row],[Communicate - Fun (CV)]]</calculatedColumnFormula>
    </tableColumn>
    <tableColumn id="22" xr3:uid="{189641EA-F0E5-4292-884D-C0850CA86A88}" name="Discovery (RD)" dataDxfId="0">
      <calculatedColumnFormula>'Robot Design Input'!D2</calculatedColumnFormula>
    </tableColumn>
    <tableColumn id="25" xr3:uid="{1AD656BF-A2B2-47A6-A517-75C5C5278D33}" name="Inclusion (RD)" dataDxfId="65">
      <calculatedColumnFormula>'Robot Design Input'!E2</calculatedColumnFormula>
    </tableColumn>
    <tableColumn id="24" xr3:uid="{779BE708-26EE-4DB8-9D09-41F980D9D3AD}" name="Innovation (RD)" dataDxfId="64">
      <calculatedColumnFormula>RobotDesignResults[[#This Row],[Iterate - Improvements (CV)]]</calculatedColumnFormula>
    </tableColumn>
    <tableColumn id="23" xr3:uid="{E81DAB0B-80D6-4DB1-A7A5-CF451511994C}" name="Impact (RD)" dataDxfId="63">
      <calculatedColumnFormula>RobotDesignResults[[#This Row],[Communicate - Impact (CV)]]</calculatedColumnFormula>
    </tableColumn>
    <tableColumn id="13" xr3:uid="{00000000-0010-0000-0200-00000D000000}" name="Fun (RD)" dataDxfId="62">
      <calculatedColumnFormula>RobotDesignResults[[#This Row],[Communicate - Fun (CV)]]</calculatedColumnFormula>
    </tableColumn>
    <tableColumn id="7" xr3:uid="{00000000-0010-0000-0200-000007000000}" name="Gracious Professionalism 1" dataDxfId="61">
      <calculatedColumnFormula>IF('Robot Game Scores'!#REF!="","",IF(ISNA(INDEX('Robot Game Scores'!#REF!,MATCH(CoreValuesResults[[#This Row],[Team Number]], 'Robot Game Scores'!$B:$B,0))),0,INDEX('Robot Game Scores'!#REF!,MATCH(CoreValuesResults[[#This Row],[Team Number]], 'Robot Game Scores'!$B:$B,0))))</calculatedColumnFormula>
    </tableColumn>
    <tableColumn id="8" xr3:uid="{00000000-0010-0000-0200-000008000000}" name="Gracious Professionalism 2" dataDxfId="60">
      <calculatedColumnFormula>IF('Robot Game Scores'!#REF!="","",IF(ISNA(INDEX('Robot Game Scores'!#REF!,MATCH(CoreValuesResults[[#This Row],[Team Number]], 'Robot Game Scores'!$B:$B,0))),0,INDEX('Robot Game Scores'!#REF!,MATCH(CoreValuesResults[[#This Row],[Team Number]], 'Robot Game Scores'!$B:$B,0))))</calculatedColumnFormula>
    </tableColumn>
    <tableColumn id="6" xr3:uid="{00000000-0010-0000-0200-000006000000}" name="Gracious Professionalism 3" dataDxfId="59">
      <calculatedColumnFormula>IF('Robot Game Scores'!#REF!="","",IF(ISNA(INDEX('Robot Game Scores'!#REF!,MATCH(CoreValuesResults[[#This Row],[Team Number]], 'Robot Game Scores'!$B:$B,0))),0,INDEX('Robot Game Scores'!#REF!,MATCH(CoreValuesResults[[#This Row],[Team Number]], 'Robot Game Scores'!$B:$B,0))))</calculatedColumnFormula>
    </tableColumn>
    <tableColumn id="9" xr3:uid="{00000000-0010-0000-0200-000009000000}" name="Gracious Professionalism 4" dataDxfId="58">
      <calculatedColumnFormula>IF('Robot Game Scores'!#REF!="","",IF(ISNA(INDEX('Robot Game Scores'!#REF!,MATCH(CoreValuesResults[[#This Row],[Team Number]], 'Robot Game Scores'!$B:$B,0))),0,INDEX('Robot Game Scores'!#REF!,MATCH(CoreValuesResults[[#This Row],[Team Number]], 'Robot Game Scores'!$B:$B,0))))</calculatedColumnFormula>
    </tableColumn>
    <tableColumn id="10" xr3:uid="{00000000-0010-0000-0200-00000A000000}" name="Gracious Professionalism 5" dataDxfId="57">
      <calculatedColumnFormula>IF('Robot Game Scores'!#REF!="","",IF(ISNA(INDEX('Robot Game Scores'!#REF!,MATCH(CoreValuesResults[[#This Row],[Team Number]], 'Robot Game Scores'!$B:$B,0))),0,INDEX('Robot Game Scores'!#REF!,MATCH(CoreValuesResults[[#This Row],[Team Number]], 'Robot Game Scores'!$B:$B,0))))</calculatedColumnFormula>
    </tableColumn>
    <tableColumn id="21" xr3:uid="{00000000-0010-0000-0200-000015000000}" name="Gracious Professionalism Empty Count" dataDxfId="56">
      <calculatedColumnFormula>IF(CoreValuesResults[[#This Row],[Gracious Professionalism 1]]="","",COUNTIF(CoreValuesResults[[#This Row],[Gracious Professionalism 1]:[Gracious Professionalism 5]],""))</calculatedColumnFormula>
    </tableColumn>
    <tableColumn id="14" xr3:uid="{00000000-0010-0000-0200-00000E000000}" name="Gracious Professionalism Total" dataDxfId="55">
      <calculatedColumnFormula>IF(CoreValuesResults[[#This Row],[Gracious Professionalism 1]]="","",SUM(CoreValuesResults[[#This Row],[Gracious Professionalism 1]:[Gracious Professionalism 5]]))</calculatedColumnFormula>
    </tableColumn>
    <tableColumn id="18" xr3:uid="{00000000-0010-0000-0200-000012000000}" name="Gracious Professionalism Score" dataDxfId="54">
      <calculatedColumnFormula>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calculatedColumnFormula>
    </tableColumn>
    <tableColumn id="19" xr3:uid="{00000000-0010-0000-0200-000013000000}" name="Core Values Score" dataDxfId="53">
      <calculatedColumnFormula>SUM(CoreValuesResults[[#This Row],[Discovery (IP)]:[Fun (RD)]],CoreValuesResults[[#This Row],[Gracious Professionalism Score]])</calculatedColumnFormula>
    </tableColumn>
    <tableColumn id="20" xr3:uid="{00000000-0010-0000-0200-000014000000}" name="Core Values Rank" dataDxfId="52">
      <calculatedColumnFormula>IF(CoreValuesResults[[#This Row],[Team Number]]&gt;0,MIN(_xlfn.RANK.EQ(CoreValuesResults[[#This Row],[Core Values Score]],CoreValuesResults[Core Values Score],0),NumberOfTeams),NumberOfTeams+1)</calculatedColumnFormula>
    </tableColumn>
    <tableColumn id="15" xr3:uid="{00000000-0010-0000-0200-00000F000000}" name="Breakthrough Selection" dataDxfId="51"/>
    <tableColumn id="16" xr3:uid="{00000000-0010-0000-0200-000010000000}" name="Rising All-Star Selection" dataDxfId="50"/>
    <tableColumn id="17" xr3:uid="{00000000-0010-0000-0200-000011000000}" name="Motivate Selection" dataDxfId="4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ChampionsDelib" displayName="ChampionsDelib" ref="B3:E18" totalsRowShown="0" headerRowDxfId="48" dataDxfId="47">
  <autoFilter ref="B3:E18" xr:uid="{00000000-0009-0000-0100-000006000000}"/>
  <tableColumns count="4">
    <tableColumn id="1" xr3:uid="{00000000-0010-0000-0500-000001000000}" name="Team Number" dataDxfId="46"/>
    <tableColumn id="2" xr3:uid="{00000000-0010-0000-0500-000002000000}" name="Team Name" dataDxfId="45">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500-000003000000}" name="Champion's Rank" dataDxfId="4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500-000004000000}" name="Deliberated Rank" dataDxfId="43"/>
  </tableColumns>
  <tableStyleInfo name="TableStyleMedium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Delib" displayName="RobotGameDelib" ref="G3:J18" totalsRowShown="0" headerRowDxfId="42" dataDxfId="41">
  <autoFilter ref="G3:J18" xr:uid="{00000000-0009-0000-0100-000007000000}"/>
  <tableColumns count="4">
    <tableColumn id="1" xr3:uid="{00000000-0010-0000-0600-000001000000}" name="Team Number" dataDxfId="40"/>
    <tableColumn id="2" xr3:uid="{00000000-0010-0000-0600-000002000000}" name="Team Name" dataDxfId="39">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600-000003000000}" name="Champion's Rank" dataDxfId="3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600-000004000000}" name="Deliberated Rank" dataDxfId="37"/>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oreValuesDelib" displayName="CoreValuesDelib" ref="B21:E36" totalsRowShown="0" headerRowDxfId="36" dataDxfId="35">
  <autoFilter ref="B21:E36" xr:uid="{00000000-0009-0000-0100-000008000000}"/>
  <tableColumns count="4">
    <tableColumn id="1" xr3:uid="{00000000-0010-0000-0700-000001000000}" name="Team Number" dataDxfId="34"/>
    <tableColumn id="2" xr3:uid="{00000000-0010-0000-0700-000002000000}" name="Team Name" dataDxfId="33">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700-000003000000}" name="Core Values Rank" dataDxfId="3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700-000004000000}" name="Deliberated Rank" dataDxfId="31"/>
  </tableColumns>
  <tableStyleInfo name="TableStyleMedium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Delib" displayName="RobotDesignDelib" ref="G21:J36" totalsRowShown="0" headerRowDxfId="30" dataDxfId="29">
  <autoFilter ref="G21:J36" xr:uid="{00000000-0009-0000-0100-000009000000}"/>
  <tableColumns count="4">
    <tableColumn id="1" xr3:uid="{00000000-0010-0000-0800-000001000000}" name="Team Number" dataDxfId="28"/>
    <tableColumn id="2" xr3:uid="{00000000-0010-0000-0800-000002000000}" name="Team Name" dataDxfId="27">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800-000003000000}" name="Robot Design Rank" dataDxfId="2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800-000004000000}" name="Deliberated Rank" dataDxfId="25"/>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InnovationProjectDelib" displayName="InnovationProjectDelib" ref="L21:O36" totalsRowShown="0" headerRowDxfId="24" dataDxfId="23">
  <autoFilter ref="L21:O36" xr:uid="{00000000-0009-0000-0100-00000B000000}"/>
  <tableColumns count="4">
    <tableColumn id="1" xr3:uid="{00000000-0010-0000-0900-000001000000}" name="Team Number" dataDxfId="22"/>
    <tableColumn id="2" xr3:uid="{00000000-0010-0000-0900-000002000000}" name="Team Name" dataDxfId="21">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900-000003000000}" name="Innovation Project Rank" dataDxfId="2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900-000004000000}" name="Deliberated Rank" dataDxfId="19"/>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BreakthroughDelib" displayName="BreakthroughDelib" ref="B39:E54" totalsRowShown="0" headerRowDxfId="18" dataDxfId="17">
  <autoFilter ref="B39:E54" xr:uid="{00000000-0009-0000-0100-00000C000000}"/>
  <tableColumns count="4">
    <tableColumn id="1" xr3:uid="{00000000-0010-0000-0A00-000001000000}" name="Team Number" dataDxfId="16"/>
    <tableColumn id="2" xr3:uid="{00000000-0010-0000-0A00-000002000000}" name="Team Name" dataDxfId="15">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A00-000003000000}" name="Champion's Rank" dataDxfId="1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A00-000004000000}" name="Deliberated Rank" dataDxfId="13"/>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RookiAllStarDelib" displayName="RookiAllStarDelib" ref="G39:J54" totalsRowShown="0" headerRowDxfId="12" dataDxfId="11">
  <autoFilter ref="G39:J54" xr:uid="{00000000-0009-0000-0100-00000D000000}"/>
  <tableColumns count="4">
    <tableColumn id="1" xr3:uid="{00000000-0010-0000-0B00-000001000000}" name="Team Number" dataDxfId="10"/>
    <tableColumn id="2" xr3:uid="{00000000-0010-0000-0B00-000002000000}" name="Team Name" dataDxfId="9">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B00-000003000000}" name="Champion's Rank" dataDxfId="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B00-000004000000}" name="Deliberated Rank" dataDxfId="7"/>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MotivateDelib" displayName="MotivateDelib" ref="L39:O54" totalsRowShown="0" headerRowDxfId="6" dataDxfId="5">
  <autoFilter ref="L39:O54" xr:uid="{00000000-0009-0000-0100-00000E000000}"/>
  <tableColumns count="4">
    <tableColumn id="1" xr3:uid="{00000000-0010-0000-0C00-000001000000}" name="Team Number" dataDxfId="4"/>
    <tableColumn id="2" xr3:uid="{00000000-0010-0000-0C00-000002000000}" name="Team Name" dataDxfId="3">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C00-000003000000}" name="Champion's Rank" dataDxfId="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C00-000004000000}" name="Deliberated Rank" dataDxfId="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AE23" sqref="AE23:AR24"/>
    </sheetView>
  </sheetViews>
  <sheetFormatPr defaultColWidth="9.109375" defaultRowHeight="39.9" customHeight="1" x14ac:dyDescent="0.3"/>
  <cols>
    <col min="1" max="1" width="9.109375" style="76" customWidth="1"/>
    <col min="2" max="29" width="9.109375" style="77"/>
    <col min="30" max="30" width="9.109375" style="77" customWidth="1"/>
    <col min="31" max="16384" width="9.109375" style="77"/>
  </cols>
  <sheetData>
    <row r="1" spans="1:44" ht="45.6" customHeight="1" x14ac:dyDescent="0.3">
      <c r="A1" s="139"/>
      <c r="B1" s="139"/>
      <c r="C1" s="139"/>
      <c r="D1" s="139"/>
      <c r="E1" s="139"/>
      <c r="F1" s="139"/>
      <c r="G1" s="139"/>
      <c r="H1" s="139"/>
      <c r="I1" s="139"/>
      <c r="J1" s="139"/>
      <c r="K1" s="139"/>
      <c r="W1" s="141" t="s">
        <v>107</v>
      </c>
      <c r="X1" s="141"/>
      <c r="Y1" s="141"/>
      <c r="Z1" s="141"/>
      <c r="AA1" s="141"/>
      <c r="AB1" s="141"/>
      <c r="AC1" s="141"/>
      <c r="AD1" s="141"/>
      <c r="AE1" s="141"/>
      <c r="AF1" s="141"/>
      <c r="AG1" s="141"/>
      <c r="AH1" s="141"/>
      <c r="AI1" s="141"/>
      <c r="AJ1" s="141"/>
      <c r="AK1" s="141"/>
      <c r="AL1" s="141"/>
      <c r="AM1" s="141"/>
      <c r="AN1" s="141"/>
    </row>
    <row r="2" spans="1:44" ht="45.6" customHeight="1" x14ac:dyDescent="0.3">
      <c r="A2" s="139"/>
      <c r="B2" s="139"/>
      <c r="C2" s="139"/>
      <c r="D2" s="139"/>
      <c r="E2" s="139"/>
      <c r="F2" s="139"/>
      <c r="G2" s="139"/>
      <c r="H2" s="139"/>
      <c r="I2" s="139"/>
      <c r="J2" s="139"/>
      <c r="K2" s="139"/>
      <c r="W2" s="141"/>
      <c r="X2" s="141"/>
      <c r="Y2" s="141"/>
      <c r="Z2" s="141"/>
      <c r="AA2" s="141"/>
      <c r="AB2" s="141"/>
      <c r="AC2" s="141"/>
      <c r="AD2" s="141"/>
      <c r="AE2" s="141"/>
      <c r="AF2" s="141"/>
      <c r="AG2" s="141"/>
      <c r="AH2" s="141"/>
      <c r="AI2" s="141"/>
      <c r="AJ2" s="141"/>
      <c r="AK2" s="141"/>
      <c r="AL2" s="141"/>
      <c r="AM2" s="141"/>
      <c r="AN2" s="141"/>
    </row>
    <row r="3" spans="1:44" ht="45.6" customHeight="1" x14ac:dyDescent="0.3">
      <c r="W3" s="141"/>
      <c r="X3" s="141"/>
      <c r="Y3" s="141"/>
      <c r="Z3" s="141"/>
      <c r="AA3" s="141"/>
      <c r="AB3" s="141"/>
      <c r="AC3" s="141"/>
      <c r="AD3" s="141"/>
      <c r="AE3" s="141"/>
      <c r="AF3" s="141"/>
      <c r="AG3" s="141"/>
      <c r="AH3" s="141"/>
      <c r="AI3" s="141"/>
      <c r="AJ3" s="141"/>
      <c r="AK3" s="141"/>
      <c r="AL3" s="141"/>
      <c r="AM3" s="141"/>
      <c r="AN3" s="141"/>
    </row>
    <row r="4" spans="1:44" ht="47.1" customHeight="1" x14ac:dyDescent="0.3">
      <c r="D4" s="81" t="s">
        <v>0</v>
      </c>
      <c r="E4" s="138" t="s">
        <v>104</v>
      </c>
      <c r="F4" s="138"/>
      <c r="G4" s="138"/>
      <c r="H4" s="138"/>
      <c r="I4" s="138"/>
      <c r="J4" s="138"/>
      <c r="K4" s="138"/>
      <c r="L4" s="138"/>
      <c r="M4" s="138"/>
      <c r="N4" s="138"/>
      <c r="O4" s="138"/>
      <c r="P4" s="138"/>
      <c r="Q4" s="138"/>
      <c r="R4" s="138"/>
      <c r="S4" s="138"/>
      <c r="T4" s="138"/>
      <c r="U4" s="138"/>
      <c r="V4" s="138"/>
      <c r="W4" s="138"/>
      <c r="X4" s="138"/>
      <c r="Y4" s="138"/>
      <c r="Z4" s="138"/>
      <c r="AA4" s="138"/>
      <c r="AB4" s="138"/>
      <c r="AC4" s="138"/>
      <c r="AD4" s="138"/>
      <c r="AE4" s="138"/>
      <c r="AF4" s="138"/>
      <c r="AG4" s="138"/>
      <c r="AH4" s="138"/>
      <c r="AI4" s="138"/>
      <c r="AJ4" s="138"/>
      <c r="AK4" s="138"/>
      <c r="AL4" s="138"/>
      <c r="AM4" s="138"/>
      <c r="AN4" s="138"/>
      <c r="AO4" s="138"/>
      <c r="AP4" s="138"/>
      <c r="AQ4" s="138"/>
    </row>
    <row r="5" spans="1:44" ht="48" customHeight="1" x14ac:dyDescent="0.3">
      <c r="D5" s="80"/>
      <c r="E5" s="138"/>
      <c r="F5" s="138"/>
      <c r="G5" s="138"/>
      <c r="H5" s="138"/>
      <c r="I5" s="138"/>
      <c r="J5" s="138"/>
      <c r="K5" s="138"/>
      <c r="L5" s="138"/>
      <c r="M5" s="138"/>
      <c r="N5" s="138"/>
      <c r="O5" s="138"/>
      <c r="P5" s="138"/>
      <c r="Q5" s="138"/>
      <c r="R5" s="138"/>
      <c r="S5" s="138"/>
      <c r="T5" s="138"/>
      <c r="U5" s="138"/>
      <c r="V5" s="138"/>
      <c r="W5" s="138"/>
      <c r="X5" s="138"/>
      <c r="Y5" s="138"/>
      <c r="Z5" s="138"/>
      <c r="AA5" s="138"/>
      <c r="AB5" s="138"/>
      <c r="AC5" s="138"/>
      <c r="AD5" s="138"/>
      <c r="AE5" s="138"/>
      <c r="AF5" s="138"/>
      <c r="AG5" s="138"/>
      <c r="AH5" s="138"/>
      <c r="AI5" s="138"/>
      <c r="AJ5" s="138"/>
      <c r="AK5" s="138"/>
      <c r="AL5" s="138"/>
      <c r="AM5" s="138"/>
      <c r="AN5" s="138"/>
      <c r="AO5" s="138"/>
      <c r="AP5" s="138"/>
      <c r="AQ5" s="138"/>
    </row>
    <row r="6" spans="1:44" ht="30" customHeight="1" x14ac:dyDescent="0.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row>
    <row r="7" spans="1:44" ht="39.9" customHeight="1" x14ac:dyDescent="0.3">
      <c r="D7" s="81" t="s">
        <v>1</v>
      </c>
      <c r="E7" s="138" t="s">
        <v>108</v>
      </c>
      <c r="F7" s="138"/>
      <c r="G7" s="138"/>
      <c r="H7" s="138"/>
      <c r="I7" s="138"/>
      <c r="J7" s="138"/>
      <c r="K7" s="138"/>
      <c r="L7" s="138"/>
      <c r="M7" s="138"/>
      <c r="N7" s="138"/>
      <c r="O7" s="138"/>
      <c r="P7" s="138"/>
      <c r="Q7" s="138"/>
      <c r="R7" s="138"/>
      <c r="S7" s="138"/>
      <c r="T7" s="138"/>
      <c r="U7" s="138"/>
      <c r="V7" s="138"/>
      <c r="W7" s="138"/>
      <c r="X7" s="138"/>
      <c r="Y7" s="138"/>
      <c r="Z7" s="138"/>
      <c r="AA7" s="138"/>
      <c r="AB7" s="138"/>
      <c r="AC7" s="138"/>
      <c r="AD7" s="138"/>
      <c r="AE7" s="138"/>
      <c r="AF7" s="138"/>
      <c r="AG7" s="138"/>
      <c r="AH7" s="138"/>
      <c r="AI7" s="138"/>
      <c r="AJ7" s="138"/>
      <c r="AK7" s="138"/>
      <c r="AL7" s="138"/>
      <c r="AM7" s="138"/>
      <c r="AN7" s="138"/>
      <c r="AO7" s="138"/>
      <c r="AP7" s="138"/>
      <c r="AQ7" s="138"/>
    </row>
    <row r="8" spans="1:44" ht="39.9" customHeight="1" x14ac:dyDescent="0.3">
      <c r="D8" s="78"/>
      <c r="E8" s="138"/>
      <c r="F8" s="138"/>
      <c r="G8" s="138"/>
      <c r="H8" s="138"/>
      <c r="I8" s="138"/>
      <c r="J8" s="138"/>
      <c r="K8" s="138"/>
      <c r="L8" s="138"/>
      <c r="M8" s="138"/>
      <c r="N8" s="138"/>
      <c r="O8" s="138"/>
      <c r="P8" s="138"/>
      <c r="Q8" s="138"/>
      <c r="R8" s="138"/>
      <c r="S8" s="138"/>
      <c r="T8" s="138"/>
      <c r="U8" s="138"/>
      <c r="V8" s="138"/>
      <c r="W8" s="138"/>
      <c r="X8" s="138"/>
      <c r="Y8" s="138"/>
      <c r="Z8" s="138"/>
      <c r="AA8" s="138"/>
      <c r="AB8" s="138"/>
      <c r="AC8" s="138"/>
      <c r="AD8" s="138"/>
      <c r="AE8" s="138"/>
      <c r="AF8" s="138"/>
      <c r="AG8" s="138"/>
      <c r="AH8" s="138"/>
      <c r="AI8" s="138"/>
      <c r="AJ8" s="138"/>
      <c r="AK8" s="138"/>
      <c r="AL8" s="138"/>
      <c r="AM8" s="138"/>
      <c r="AN8" s="138"/>
      <c r="AO8" s="138"/>
      <c r="AP8" s="138"/>
      <c r="AQ8" s="138"/>
    </row>
    <row r="9" spans="1:44" ht="61.2" customHeight="1" x14ac:dyDescent="0.3">
      <c r="D9" s="78"/>
      <c r="E9" s="138"/>
      <c r="F9" s="138"/>
      <c r="G9" s="138"/>
      <c r="H9" s="138"/>
      <c r="I9" s="138"/>
      <c r="J9" s="138"/>
      <c r="K9" s="138"/>
      <c r="L9" s="138"/>
      <c r="M9" s="138"/>
      <c r="N9" s="138"/>
      <c r="O9" s="138"/>
      <c r="P9" s="138"/>
      <c r="Q9" s="138"/>
      <c r="R9" s="138"/>
      <c r="S9" s="138"/>
      <c r="T9" s="138"/>
      <c r="U9" s="138"/>
      <c r="V9" s="138"/>
      <c r="W9" s="138"/>
      <c r="X9" s="138"/>
      <c r="Y9" s="138"/>
      <c r="Z9" s="138"/>
      <c r="AA9" s="138"/>
      <c r="AB9" s="138"/>
      <c r="AC9" s="138"/>
      <c r="AD9" s="138"/>
      <c r="AE9" s="138"/>
      <c r="AF9" s="138"/>
      <c r="AG9" s="138"/>
      <c r="AH9" s="138"/>
      <c r="AI9" s="138"/>
      <c r="AJ9" s="138"/>
      <c r="AK9" s="138"/>
      <c r="AL9" s="138"/>
      <c r="AM9" s="138"/>
      <c r="AN9" s="138"/>
      <c r="AO9" s="138"/>
      <c r="AP9" s="138"/>
      <c r="AQ9" s="138"/>
    </row>
    <row r="10" spans="1:44" s="106" customFormat="1" ht="61.8" customHeight="1" x14ac:dyDescent="0.3">
      <c r="A10" s="105"/>
      <c r="D10" s="107"/>
      <c r="F10" s="140" t="s">
        <v>109</v>
      </c>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row>
    <row r="11" spans="1:44" s="106" customFormat="1" ht="20.399999999999999" customHeight="1" x14ac:dyDescent="0.3">
      <c r="A11" s="105"/>
      <c r="D11" s="107"/>
      <c r="F11" s="108"/>
    </row>
    <row r="12" spans="1:44" ht="46.35" customHeight="1" x14ac:dyDescent="0.3">
      <c r="D12" s="81" t="s">
        <v>2</v>
      </c>
      <c r="E12" s="138" t="s">
        <v>110</v>
      </c>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row>
    <row r="13" spans="1:44" ht="52.8" customHeight="1" x14ac:dyDescent="0.3">
      <c r="D13" s="78"/>
      <c r="E13" s="138"/>
      <c r="F13" s="138"/>
      <c r="G13" s="138"/>
      <c r="H13" s="138"/>
      <c r="I13" s="138"/>
      <c r="J13" s="138"/>
      <c r="K13" s="138"/>
      <c r="L13" s="138"/>
      <c r="M13" s="138"/>
      <c r="N13" s="138"/>
      <c r="O13" s="138"/>
      <c r="P13" s="138"/>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row>
    <row r="14" spans="1:44" ht="60" customHeight="1" x14ac:dyDescent="0.3">
      <c r="D14" s="78"/>
      <c r="F14" s="140" t="s">
        <v>98</v>
      </c>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row>
    <row r="15" spans="1:44" ht="1.8" customHeight="1" x14ac:dyDescent="0.3">
      <c r="D15" s="78"/>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row>
    <row r="16" spans="1:44" ht="20.399999999999999" customHeight="1" x14ac:dyDescent="0.3">
      <c r="D16" s="78"/>
      <c r="F16" s="123"/>
    </row>
    <row r="17" spans="2:45" ht="47.4" customHeight="1" x14ac:dyDescent="0.3">
      <c r="D17" s="81" t="s">
        <v>3</v>
      </c>
      <c r="E17" s="137" t="s">
        <v>86</v>
      </c>
      <c r="F17" s="137"/>
      <c r="G17" s="137"/>
      <c r="H17" s="137"/>
      <c r="I17" s="137"/>
      <c r="J17" s="137"/>
      <c r="K17" s="137"/>
      <c r="L17" s="137"/>
      <c r="M17" s="137"/>
      <c r="N17" s="137"/>
      <c r="O17" s="137"/>
      <c r="P17" s="137"/>
      <c r="Q17" s="137"/>
      <c r="R17" s="137"/>
      <c r="S17" s="137"/>
      <c r="T17" s="137"/>
      <c r="U17" s="137"/>
      <c r="V17" s="137"/>
      <c r="W17" s="137"/>
      <c r="X17" s="137"/>
      <c r="Y17" s="137"/>
      <c r="Z17" s="137"/>
      <c r="AA17" s="137"/>
      <c r="AB17" s="137"/>
      <c r="AC17" s="137"/>
      <c r="AD17" s="137"/>
      <c r="AE17" s="137"/>
      <c r="AF17" s="137"/>
      <c r="AG17" s="137"/>
      <c r="AH17" s="137"/>
      <c r="AI17" s="137"/>
      <c r="AJ17" s="137"/>
      <c r="AK17" s="137"/>
      <c r="AL17" s="137"/>
      <c r="AM17" s="137"/>
      <c r="AN17" s="137"/>
      <c r="AO17" s="137"/>
      <c r="AP17" s="137"/>
      <c r="AQ17" s="137"/>
    </row>
    <row r="18" spans="2:45" ht="30" customHeight="1" x14ac:dyDescent="0.3">
      <c r="D18" s="78"/>
    </row>
    <row r="19" spans="2:45" ht="39.9" customHeight="1" x14ac:dyDescent="0.3">
      <c r="D19" s="81" t="s">
        <v>4</v>
      </c>
      <c r="E19" s="137" t="s">
        <v>105</v>
      </c>
      <c r="F19" s="137"/>
      <c r="G19" s="137"/>
      <c r="H19" s="137"/>
      <c r="I19" s="137"/>
      <c r="J19" s="137"/>
      <c r="K19" s="137"/>
      <c r="L19" s="137"/>
      <c r="M19" s="137"/>
      <c r="N19" s="137"/>
      <c r="O19" s="137"/>
      <c r="P19" s="137"/>
      <c r="Q19" s="137"/>
      <c r="R19" s="137"/>
      <c r="S19" s="137"/>
      <c r="T19" s="137"/>
      <c r="U19" s="137"/>
      <c r="V19" s="137"/>
      <c r="W19" s="13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row>
    <row r="20" spans="2:45" ht="30" customHeight="1" thickBot="1" x14ac:dyDescent="0.35">
      <c r="D20" s="81"/>
      <c r="E20" s="78"/>
    </row>
    <row r="21" spans="2:45" ht="39.9" customHeight="1" x14ac:dyDescent="0.3">
      <c r="B21" s="79" t="s">
        <v>87</v>
      </c>
      <c r="F21" s="128" t="s">
        <v>5</v>
      </c>
      <c r="G21" s="129"/>
      <c r="H21" s="129"/>
      <c r="I21" s="129"/>
      <c r="J21" s="129"/>
      <c r="K21" s="129"/>
      <c r="L21" s="129"/>
      <c r="M21" s="130"/>
      <c r="N21" s="112"/>
      <c r="O21" s="128" t="s">
        <v>99</v>
      </c>
      <c r="P21" s="129"/>
      <c r="Q21" s="129"/>
      <c r="R21" s="129"/>
      <c r="S21" s="129"/>
      <c r="T21" s="129"/>
      <c r="U21" s="129"/>
      <c r="V21" s="130"/>
      <c r="W21" s="112"/>
      <c r="X21" s="128" t="s">
        <v>106</v>
      </c>
      <c r="Y21" s="129"/>
      <c r="Z21" s="129"/>
      <c r="AA21" s="129"/>
      <c r="AB21" s="129"/>
      <c r="AC21" s="130"/>
      <c r="AD21" s="112"/>
      <c r="AE21" s="128" t="s">
        <v>111</v>
      </c>
      <c r="AF21" s="129"/>
      <c r="AG21" s="129"/>
      <c r="AH21" s="129"/>
      <c r="AI21" s="129"/>
      <c r="AJ21" s="129"/>
      <c r="AK21" s="129"/>
      <c r="AL21" s="129"/>
      <c r="AM21" s="129"/>
      <c r="AN21" s="129"/>
      <c r="AO21" s="129"/>
      <c r="AP21" s="129"/>
      <c r="AQ21" s="129"/>
      <c r="AR21" s="130"/>
    </row>
    <row r="22" spans="2:45" ht="49.35" customHeight="1" thickBot="1" x14ac:dyDescent="0.35">
      <c r="D22" s="78"/>
      <c r="F22" s="131"/>
      <c r="G22" s="132"/>
      <c r="H22" s="132"/>
      <c r="I22" s="132"/>
      <c r="J22" s="132"/>
      <c r="K22" s="132"/>
      <c r="L22" s="132"/>
      <c r="M22" s="133"/>
      <c r="N22" s="112"/>
      <c r="O22" s="131"/>
      <c r="P22" s="132"/>
      <c r="Q22" s="132"/>
      <c r="R22" s="132"/>
      <c r="S22" s="132"/>
      <c r="T22" s="132"/>
      <c r="U22" s="132"/>
      <c r="V22" s="133"/>
      <c r="W22" s="112"/>
      <c r="X22" s="131"/>
      <c r="Y22" s="132"/>
      <c r="Z22" s="132"/>
      <c r="AA22" s="132"/>
      <c r="AB22" s="132"/>
      <c r="AC22" s="133"/>
      <c r="AD22" s="112"/>
      <c r="AE22" s="134"/>
      <c r="AF22" s="135"/>
      <c r="AG22" s="135"/>
      <c r="AH22" s="135"/>
      <c r="AI22" s="135"/>
      <c r="AJ22" s="135"/>
      <c r="AK22" s="135"/>
      <c r="AL22" s="135"/>
      <c r="AM22" s="135"/>
      <c r="AN22" s="135"/>
      <c r="AO22" s="135"/>
      <c r="AP22" s="135"/>
      <c r="AQ22" s="135"/>
      <c r="AR22" s="136"/>
    </row>
    <row r="23" spans="2:45" ht="43.35" customHeight="1" x14ac:dyDescent="0.3">
      <c r="F23" s="131" t="s">
        <v>6</v>
      </c>
      <c r="G23" s="132"/>
      <c r="H23" s="132"/>
      <c r="I23" s="132"/>
      <c r="J23" s="132"/>
      <c r="K23" s="132"/>
      <c r="L23" s="132"/>
      <c r="M23" s="133"/>
      <c r="N23" s="112"/>
      <c r="O23" s="131"/>
      <c r="P23" s="132"/>
      <c r="Q23" s="132"/>
      <c r="R23" s="132"/>
      <c r="S23" s="132"/>
      <c r="T23" s="132"/>
      <c r="U23" s="132"/>
      <c r="V23" s="133"/>
      <c r="W23" s="112"/>
      <c r="X23" s="131"/>
      <c r="Y23" s="132"/>
      <c r="Z23" s="132"/>
      <c r="AA23" s="132"/>
      <c r="AB23" s="132"/>
      <c r="AC23" s="133"/>
      <c r="AD23" s="112"/>
      <c r="AE23" s="131" t="s">
        <v>100</v>
      </c>
      <c r="AF23" s="132"/>
      <c r="AG23" s="132"/>
      <c r="AH23" s="132"/>
      <c r="AI23" s="132"/>
      <c r="AJ23" s="132"/>
      <c r="AK23" s="132"/>
      <c r="AL23" s="132"/>
      <c r="AM23" s="132"/>
      <c r="AN23" s="132"/>
      <c r="AO23" s="132"/>
      <c r="AP23" s="132"/>
      <c r="AQ23" s="132"/>
      <c r="AR23" s="133"/>
    </row>
    <row r="24" spans="2:45" ht="39.6" customHeight="1" thickBot="1" x14ac:dyDescent="0.35">
      <c r="F24" s="134"/>
      <c r="G24" s="135"/>
      <c r="H24" s="135"/>
      <c r="I24" s="135"/>
      <c r="J24" s="135"/>
      <c r="K24" s="135"/>
      <c r="L24" s="135"/>
      <c r="M24" s="136"/>
      <c r="N24" s="112"/>
      <c r="O24" s="134"/>
      <c r="P24" s="135"/>
      <c r="Q24" s="135"/>
      <c r="R24" s="135"/>
      <c r="S24" s="135"/>
      <c r="T24" s="135"/>
      <c r="U24" s="135"/>
      <c r="V24" s="136"/>
      <c r="W24" s="112"/>
      <c r="X24" s="134"/>
      <c r="Y24" s="135"/>
      <c r="Z24" s="135"/>
      <c r="AA24" s="135"/>
      <c r="AB24" s="135"/>
      <c r="AC24" s="136"/>
      <c r="AD24" s="112"/>
      <c r="AE24" s="134"/>
      <c r="AF24" s="135"/>
      <c r="AG24" s="135"/>
      <c r="AH24" s="135"/>
      <c r="AI24" s="135"/>
      <c r="AJ24" s="135"/>
      <c r="AK24" s="135"/>
      <c r="AL24" s="135"/>
      <c r="AM24" s="135"/>
      <c r="AN24" s="135"/>
      <c r="AO24" s="135"/>
      <c r="AP24" s="135"/>
      <c r="AQ24" s="135"/>
      <c r="AR24" s="136"/>
    </row>
  </sheetData>
  <mergeCells count="15">
    <mergeCell ref="E19:AS19"/>
    <mergeCell ref="E4:AQ5"/>
    <mergeCell ref="A1:K2"/>
    <mergeCell ref="E7:AQ9"/>
    <mergeCell ref="E12:AQ13"/>
    <mergeCell ref="E17:AQ17"/>
    <mergeCell ref="F10:AQ10"/>
    <mergeCell ref="F14:AR15"/>
    <mergeCell ref="W1:AN3"/>
    <mergeCell ref="F21:M22"/>
    <mergeCell ref="F23:M24"/>
    <mergeCell ref="X21:AC24"/>
    <mergeCell ref="AE21:AR22"/>
    <mergeCell ref="AE23:AR24"/>
    <mergeCell ref="O21:V24"/>
  </mergeCells>
  <pageMargins left="0.7" right="0.7" top="0.75" bottom="0.75" header="0.3" footer="0.3"/>
  <pageSetup orientation="landscape" horizontalDpi="1200" verticalDpi="1200" r:id="rId1"/>
  <ignoredErrors>
    <ignoredError sqref="D4 D17:D19 D12:D13 D7:D9" numberStoredAsText="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K62"/>
  <sheetViews>
    <sheetView zoomScaleNormal="100" workbookViewId="0">
      <selection activeCell="A2" sqref="A2"/>
    </sheetView>
  </sheetViews>
  <sheetFormatPr defaultColWidth="9.109375" defaultRowHeight="39.9" customHeight="1" x14ac:dyDescent="0.3"/>
  <cols>
    <col min="1" max="1" width="23.88671875" style="7" bestFit="1" customWidth="1"/>
    <col min="2" max="2" width="5.44140625" style="6" customWidth="1"/>
    <col min="3" max="3" width="23.88671875" style="6" bestFit="1" customWidth="1"/>
    <col min="4" max="4" width="69" style="6" customWidth="1"/>
    <col min="5" max="5" width="21.88671875" style="6" customWidth="1"/>
    <col min="6" max="6" width="21.5546875" style="6" bestFit="1" customWidth="1"/>
    <col min="7" max="16384" width="9.109375" style="6"/>
  </cols>
  <sheetData>
    <row r="1" spans="1:11" s="1" customFormat="1" ht="39.9" customHeight="1" x14ac:dyDescent="0.3">
      <c r="A1" s="7" t="s">
        <v>7</v>
      </c>
      <c r="B1" s="113"/>
      <c r="C1" s="142" t="s">
        <v>8</v>
      </c>
      <c r="D1" s="142"/>
      <c r="E1" s="142"/>
      <c r="F1" s="142"/>
      <c r="G1" s="113"/>
      <c r="H1" s="113"/>
      <c r="I1" s="113"/>
      <c r="J1" s="4"/>
      <c r="K1" s="4"/>
    </row>
    <row r="2" spans="1:11" s="2" customFormat="1" ht="39.9" customHeight="1" thickBot="1" x14ac:dyDescent="0.35">
      <c r="A2" s="7" t="s">
        <v>85</v>
      </c>
      <c r="B2" s="5"/>
      <c r="C2" s="8" t="s">
        <v>9</v>
      </c>
      <c r="D2" s="8" t="s">
        <v>10</v>
      </c>
      <c r="E2" s="7" t="s">
        <v>11</v>
      </c>
      <c r="F2" s="7" t="s">
        <v>12</v>
      </c>
      <c r="J2" s="4"/>
      <c r="K2" s="4"/>
    </row>
    <row r="3" spans="1:11" s="2" customFormat="1" ht="39.9" customHeight="1" x14ac:dyDescent="0.3">
      <c r="A3" s="113"/>
      <c r="B3" s="3"/>
      <c r="C3" s="113"/>
      <c r="D3" s="75"/>
      <c r="E3" s="113"/>
      <c r="F3" s="113"/>
      <c r="H3" s="96"/>
      <c r="I3" s="97"/>
      <c r="J3" s="98"/>
      <c r="K3" s="4"/>
    </row>
    <row r="4" spans="1:11" ht="39.9" customHeight="1" x14ac:dyDescent="0.3">
      <c r="A4" s="7" t="s">
        <v>13</v>
      </c>
      <c r="C4" s="113"/>
      <c r="D4" s="75"/>
      <c r="E4" s="113"/>
      <c r="F4" s="113"/>
      <c r="H4" s="99"/>
      <c r="I4" s="100"/>
      <c r="J4" s="101"/>
    </row>
    <row r="5" spans="1:11" ht="39.9" customHeight="1" thickBot="1" x14ac:dyDescent="0.35">
      <c r="A5" s="7">
        <f>COUNTIF(OfficialTeamList[Team Number],"&gt;0")</f>
        <v>0</v>
      </c>
      <c r="C5" s="113"/>
      <c r="D5" s="75"/>
      <c r="E5" s="9"/>
      <c r="F5" s="114"/>
      <c r="H5" s="102"/>
      <c r="I5" s="103"/>
      <c r="J5" s="104"/>
    </row>
    <row r="6" spans="1:11" ht="39.9" customHeight="1" x14ac:dyDescent="0.3">
      <c r="C6" s="113"/>
      <c r="D6" s="75"/>
      <c r="E6" s="113"/>
      <c r="F6" s="113"/>
      <c r="H6" s="143" t="s">
        <v>14</v>
      </c>
      <c r="I6" s="143"/>
      <c r="J6" s="143"/>
    </row>
    <row r="7" spans="1:11" ht="39.9" customHeight="1" thickBot="1" x14ac:dyDescent="0.35">
      <c r="A7" s="33" t="s">
        <v>15</v>
      </c>
      <c r="C7" s="113"/>
      <c r="D7" s="75"/>
      <c r="E7" s="113"/>
      <c r="F7" s="113"/>
      <c r="H7" s="144"/>
      <c r="I7" s="144"/>
      <c r="J7" s="144"/>
    </row>
    <row r="8" spans="1:11" ht="39.9" customHeight="1" thickTop="1" thickBot="1" x14ac:dyDescent="0.35">
      <c r="A8" s="10">
        <v>1</v>
      </c>
      <c r="C8" s="113"/>
      <c r="D8" s="75"/>
      <c r="E8" s="113"/>
      <c r="F8" s="113"/>
      <c r="H8" s="109"/>
      <c r="I8" s="109"/>
      <c r="J8" s="109"/>
    </row>
    <row r="9" spans="1:11" ht="39.9" customHeight="1" thickTop="1" x14ac:dyDescent="0.3">
      <c r="C9" s="113"/>
      <c r="D9" s="75"/>
      <c r="E9" s="113"/>
      <c r="F9" s="113"/>
    </row>
    <row r="10" spans="1:11" ht="39.9" customHeight="1" x14ac:dyDescent="0.3">
      <c r="A10"/>
      <c r="C10" s="113"/>
      <c r="D10" s="75"/>
      <c r="E10" s="113"/>
      <c r="F10" s="113"/>
    </row>
    <row r="11" spans="1:11" ht="39.9" customHeight="1" x14ac:dyDescent="0.3">
      <c r="A11"/>
      <c r="C11" s="113"/>
      <c r="D11" s="75"/>
      <c r="E11" s="113"/>
      <c r="F11" s="113"/>
    </row>
    <row r="12" spans="1:11" ht="39.9" customHeight="1" x14ac:dyDescent="0.3">
      <c r="A12"/>
      <c r="C12" s="113"/>
      <c r="D12" s="75"/>
      <c r="E12" s="113"/>
      <c r="F12" s="113"/>
    </row>
    <row r="13" spans="1:11" ht="39.9" customHeight="1" x14ac:dyDescent="0.3">
      <c r="A13"/>
      <c r="C13" s="113"/>
      <c r="D13" s="75"/>
      <c r="E13" s="113"/>
      <c r="F13" s="113"/>
    </row>
    <row r="14" spans="1:11" ht="39.9" customHeight="1" x14ac:dyDescent="0.3">
      <c r="A14"/>
      <c r="C14" s="113"/>
      <c r="D14" s="75"/>
      <c r="E14" s="113"/>
      <c r="F14" s="113"/>
    </row>
    <row r="15" spans="1:11" ht="39.9" customHeight="1" x14ac:dyDescent="0.3">
      <c r="C15" s="113"/>
      <c r="D15" s="75"/>
      <c r="E15" s="113"/>
      <c r="F15" s="113"/>
    </row>
    <row r="16" spans="1:11" ht="39.9" customHeight="1" x14ac:dyDescent="0.3">
      <c r="A16"/>
      <c r="C16" s="113"/>
      <c r="D16" s="75"/>
      <c r="E16" s="113"/>
      <c r="F16" s="113"/>
    </row>
    <row r="17" spans="1:6" ht="39.9" customHeight="1" x14ac:dyDescent="0.3">
      <c r="A17"/>
      <c r="C17" s="113"/>
      <c r="D17" s="75"/>
      <c r="E17" s="113"/>
      <c r="F17" s="113"/>
    </row>
    <row r="18" spans="1:6" ht="39.9" customHeight="1" x14ac:dyDescent="0.3">
      <c r="C18" s="113"/>
      <c r="D18" s="75"/>
      <c r="E18" s="113"/>
      <c r="F18" s="113"/>
    </row>
    <row r="19" spans="1:6" ht="39.9" customHeight="1" x14ac:dyDescent="0.3">
      <c r="C19" s="113"/>
      <c r="D19" s="75"/>
      <c r="E19" s="113"/>
      <c r="F19" s="113"/>
    </row>
    <row r="20" spans="1:6" ht="39.9" customHeight="1" x14ac:dyDescent="0.3">
      <c r="C20" s="113"/>
      <c r="D20" s="75"/>
      <c r="E20" s="113"/>
      <c r="F20" s="113"/>
    </row>
    <row r="21" spans="1:6" ht="39.9" customHeight="1" x14ac:dyDescent="0.3">
      <c r="C21" s="113"/>
      <c r="D21" s="75"/>
      <c r="E21" s="113"/>
      <c r="F21" s="113"/>
    </row>
    <row r="22" spans="1:6" ht="39.9" customHeight="1" x14ac:dyDescent="0.3">
      <c r="C22" s="113"/>
      <c r="D22" s="75"/>
      <c r="E22" s="113"/>
      <c r="F22" s="113"/>
    </row>
    <row r="23" spans="1:6" ht="39.9" customHeight="1" x14ac:dyDescent="0.3">
      <c r="C23" s="113"/>
      <c r="D23" s="75"/>
      <c r="E23" s="113"/>
      <c r="F23" s="113"/>
    </row>
    <row r="24" spans="1:6" ht="39.9" customHeight="1" x14ac:dyDescent="0.3">
      <c r="C24" s="113"/>
      <c r="D24" s="75"/>
      <c r="E24" s="113"/>
      <c r="F24" s="113"/>
    </row>
    <row r="25" spans="1:6" ht="39.9" customHeight="1" x14ac:dyDescent="0.3">
      <c r="C25" s="113"/>
      <c r="D25" s="75"/>
      <c r="E25" s="113"/>
      <c r="F25" s="113"/>
    </row>
    <row r="26" spans="1:6" ht="39.9" customHeight="1" x14ac:dyDescent="0.3">
      <c r="C26" s="113"/>
      <c r="D26" s="75"/>
      <c r="E26" s="113"/>
      <c r="F26" s="113"/>
    </row>
    <row r="27" spans="1:6" ht="39.9" customHeight="1" x14ac:dyDescent="0.3">
      <c r="C27" s="113"/>
      <c r="D27" s="75"/>
      <c r="E27" s="113"/>
      <c r="F27" s="113"/>
    </row>
    <row r="28" spans="1:6" ht="39.9" customHeight="1" x14ac:dyDescent="0.3">
      <c r="C28" s="113"/>
      <c r="D28" s="75"/>
      <c r="E28" s="113"/>
      <c r="F28" s="113"/>
    </row>
    <row r="29" spans="1:6" ht="39.9" customHeight="1" x14ac:dyDescent="0.3">
      <c r="C29" s="113"/>
      <c r="D29" s="75"/>
      <c r="E29" s="113"/>
      <c r="F29" s="113"/>
    </row>
    <row r="30" spans="1:6" ht="39.9" customHeight="1" x14ac:dyDescent="0.3">
      <c r="C30" s="113"/>
      <c r="D30" s="75"/>
      <c r="E30" s="113"/>
      <c r="F30" s="113"/>
    </row>
    <row r="31" spans="1:6" ht="39.9" customHeight="1" x14ac:dyDescent="0.3">
      <c r="C31" s="113"/>
      <c r="D31" s="75"/>
      <c r="E31" s="113"/>
      <c r="F31" s="113"/>
    </row>
    <row r="32" spans="1:6" ht="39.9" customHeight="1" x14ac:dyDescent="0.3">
      <c r="C32" s="113"/>
      <c r="D32" s="75"/>
      <c r="E32" s="113"/>
      <c r="F32" s="113"/>
    </row>
    <row r="33" spans="3:6" ht="39.9" customHeight="1" x14ac:dyDescent="0.3">
      <c r="C33" s="113"/>
      <c r="D33" s="75"/>
      <c r="E33" s="113"/>
      <c r="F33" s="113"/>
    </row>
    <row r="34" spans="3:6" ht="39.9" customHeight="1" x14ac:dyDescent="0.3">
      <c r="C34" s="113"/>
      <c r="D34" s="75"/>
      <c r="E34" s="113"/>
      <c r="F34" s="113"/>
    </row>
    <row r="35" spans="3:6" ht="39.9" customHeight="1" x14ac:dyDescent="0.3">
      <c r="C35" s="113"/>
      <c r="D35" s="75"/>
      <c r="E35" s="113"/>
      <c r="F35" s="113"/>
    </row>
    <row r="36" spans="3:6" ht="39.9" customHeight="1" x14ac:dyDescent="0.3">
      <c r="C36" s="113"/>
      <c r="D36" s="75"/>
      <c r="E36" s="113"/>
      <c r="F36" s="113"/>
    </row>
    <row r="37" spans="3:6" ht="39.9" customHeight="1" x14ac:dyDescent="0.3">
      <c r="C37" s="113"/>
      <c r="D37" s="75"/>
      <c r="E37" s="113"/>
      <c r="F37" s="113"/>
    </row>
    <row r="38" spans="3:6" ht="39.9" customHeight="1" x14ac:dyDescent="0.3">
      <c r="C38" s="113"/>
      <c r="D38" s="75"/>
      <c r="E38" s="113"/>
      <c r="F38" s="113"/>
    </row>
    <row r="39" spans="3:6" ht="39.9" customHeight="1" x14ac:dyDescent="0.3">
      <c r="C39" s="113"/>
      <c r="D39" s="75"/>
      <c r="E39" s="113"/>
      <c r="F39" s="113"/>
    </row>
    <row r="40" spans="3:6" ht="39.9" customHeight="1" x14ac:dyDescent="0.3">
      <c r="C40" s="113"/>
      <c r="D40" s="75"/>
      <c r="E40" s="113"/>
      <c r="F40" s="113"/>
    </row>
    <row r="41" spans="3:6" ht="39.9" customHeight="1" x14ac:dyDescent="0.3">
      <c r="C41" s="113"/>
      <c r="D41" s="75"/>
      <c r="E41" s="113"/>
      <c r="F41" s="113"/>
    </row>
    <row r="42" spans="3:6" ht="39.9" customHeight="1" x14ac:dyDescent="0.3">
      <c r="C42" s="113"/>
      <c r="D42" s="75"/>
      <c r="E42" s="113"/>
      <c r="F42" s="113"/>
    </row>
    <row r="43" spans="3:6" ht="39.9" customHeight="1" x14ac:dyDescent="0.3">
      <c r="C43" s="113"/>
      <c r="D43" s="75"/>
      <c r="E43" s="113"/>
      <c r="F43" s="113"/>
    </row>
    <row r="44" spans="3:6" ht="39.9" customHeight="1" x14ac:dyDescent="0.3">
      <c r="C44" s="113"/>
      <c r="D44" s="75"/>
      <c r="E44" s="113"/>
      <c r="F44" s="113"/>
    </row>
    <row r="45" spans="3:6" ht="39.9" customHeight="1" x14ac:dyDescent="0.3">
      <c r="C45" s="113"/>
      <c r="D45" s="75"/>
      <c r="E45" s="113"/>
      <c r="F45" s="113"/>
    </row>
    <row r="46" spans="3:6" ht="39.9" customHeight="1" x14ac:dyDescent="0.3">
      <c r="C46" s="113"/>
      <c r="D46" s="75"/>
      <c r="E46" s="113"/>
      <c r="F46" s="113"/>
    </row>
    <row r="47" spans="3:6" ht="39.9" customHeight="1" x14ac:dyDescent="0.3">
      <c r="C47" s="113"/>
      <c r="D47" s="75"/>
      <c r="E47" s="113"/>
      <c r="F47" s="113"/>
    </row>
    <row r="48" spans="3:6" ht="39.9" customHeight="1" x14ac:dyDescent="0.3">
      <c r="C48" s="113"/>
      <c r="D48" s="75"/>
      <c r="E48" s="113"/>
      <c r="F48" s="113"/>
    </row>
    <row r="49" spans="3:6" ht="39.9" customHeight="1" x14ac:dyDescent="0.3">
      <c r="C49" s="113"/>
      <c r="D49" s="75"/>
      <c r="E49" s="113"/>
      <c r="F49" s="113"/>
    </row>
    <row r="50" spans="3:6" ht="39.9" customHeight="1" x14ac:dyDescent="0.3">
      <c r="C50" s="113"/>
      <c r="D50" s="75"/>
      <c r="E50" s="113"/>
      <c r="F50" s="113"/>
    </row>
    <row r="51" spans="3:6" ht="39.9" customHeight="1" x14ac:dyDescent="0.3">
      <c r="C51" s="113"/>
      <c r="D51" s="75"/>
      <c r="E51" s="113"/>
      <c r="F51" s="113"/>
    </row>
    <row r="52" spans="3:6" ht="39.9" customHeight="1" x14ac:dyDescent="0.3">
      <c r="C52" s="113"/>
      <c r="D52" s="75"/>
      <c r="E52" s="113"/>
      <c r="F52" s="113"/>
    </row>
    <row r="53" spans="3:6" ht="39.9" customHeight="1" x14ac:dyDescent="0.3">
      <c r="C53" s="113"/>
      <c r="D53" s="75"/>
      <c r="E53" s="113"/>
      <c r="F53" s="113"/>
    </row>
    <row r="54" spans="3:6" ht="39.9" customHeight="1" x14ac:dyDescent="0.3">
      <c r="C54" s="113"/>
      <c r="D54" s="75"/>
      <c r="E54" s="113"/>
      <c r="F54" s="113"/>
    </row>
    <row r="55" spans="3:6" ht="39.9" customHeight="1" x14ac:dyDescent="0.3">
      <c r="C55" s="113"/>
      <c r="D55" s="75"/>
      <c r="E55" s="113"/>
      <c r="F55" s="113"/>
    </row>
    <row r="56" spans="3:6" ht="39.9" customHeight="1" x14ac:dyDescent="0.3">
      <c r="C56" s="113"/>
      <c r="D56" s="75"/>
      <c r="E56" s="113"/>
      <c r="F56" s="113"/>
    </row>
    <row r="57" spans="3:6" ht="39.9" customHeight="1" x14ac:dyDescent="0.3">
      <c r="C57" s="113"/>
      <c r="D57" s="75"/>
      <c r="E57" s="113"/>
      <c r="F57" s="113"/>
    </row>
    <row r="58" spans="3:6" ht="39.9" customHeight="1" x14ac:dyDescent="0.3">
      <c r="C58" s="113"/>
      <c r="D58" s="75"/>
      <c r="E58" s="113"/>
      <c r="F58" s="113"/>
    </row>
    <row r="59" spans="3:6" ht="39.9" customHeight="1" x14ac:dyDescent="0.3">
      <c r="C59" s="113"/>
      <c r="D59" s="75"/>
      <c r="E59" s="113"/>
      <c r="F59" s="113"/>
    </row>
    <row r="60" spans="3:6" ht="39.9" customHeight="1" x14ac:dyDescent="0.3">
      <c r="C60" s="113"/>
      <c r="D60" s="75"/>
      <c r="E60" s="113"/>
      <c r="F60" s="113"/>
    </row>
    <row r="61" spans="3:6" ht="39.9" customHeight="1" x14ac:dyDescent="0.3">
      <c r="C61" s="113"/>
      <c r="D61" s="75"/>
      <c r="E61" s="113"/>
      <c r="F61" s="113"/>
    </row>
    <row r="62" spans="3:6" ht="39.9" customHeight="1" x14ac:dyDescent="0.3">
      <c r="C62" s="113"/>
      <c r="D62" s="75"/>
      <c r="E62" s="113"/>
      <c r="F62" s="113"/>
    </row>
  </sheetData>
  <mergeCells count="2">
    <mergeCell ref="C1:F1"/>
    <mergeCell ref="H6:J7"/>
  </mergeCells>
  <phoneticPr fontId="18" type="noConversion"/>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cro2">
                <anchor moveWithCells="1" sizeWithCells="1">
                  <from>
                    <xdr:col>7</xdr:col>
                    <xdr:colOff>220980</xdr:colOff>
                    <xdr:row>2</xdr:row>
                    <xdr:rowOff>198120</xdr:rowOff>
                  </from>
                  <to>
                    <xdr:col>9</xdr:col>
                    <xdr:colOff>449580</xdr:colOff>
                    <xdr:row>4</xdr:row>
                    <xdr:rowOff>335280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H110"/>
  <sheetViews>
    <sheetView zoomScale="70" zoomScaleNormal="70" workbookViewId="0">
      <pane xSplit="2" ySplit="2" topLeftCell="C7" activePane="bottomRight" state="frozen"/>
      <selection pane="topRight" activeCell="C1" sqref="C1"/>
      <selection pane="bottomLeft" activeCell="A3" sqref="A3"/>
      <selection pane="bottomRight" sqref="A1:B1"/>
    </sheetView>
  </sheetViews>
  <sheetFormatPr defaultColWidth="9.109375" defaultRowHeight="20.25" customHeight="1" x14ac:dyDescent="0.3"/>
  <cols>
    <col min="1" max="1" width="15.44140625" style="12" customWidth="1"/>
    <col min="2" max="2" width="32.44140625" style="1" customWidth="1"/>
    <col min="3" max="5" width="6.44140625" customWidth="1"/>
    <col min="6" max="7" width="6.44140625" style="1" hidden="1" customWidth="1"/>
    <col min="8" max="8" width="6.44140625" style="1" customWidth="1"/>
    <col min="9" max="12" width="10.44140625" style="1" customWidth="1"/>
    <col min="13" max="14" width="15.44140625" style="1" customWidth="1"/>
    <col min="15" max="17" width="6.44140625" style="1" customWidth="1"/>
    <col min="18" max="18" width="26.109375" style="1" customWidth="1"/>
    <col min="19" max="19" width="8.44140625" style="1" customWidth="1"/>
    <col min="20" max="20" width="8.44140625" customWidth="1"/>
    <col min="21" max="23" width="8.44140625" style="39" hidden="1" customWidth="1"/>
    <col min="24" max="24" width="8.44140625" style="38" hidden="1" customWidth="1"/>
    <col min="25" max="25" width="8.44140625" hidden="1" customWidth="1"/>
    <col min="26" max="26" width="80.44140625" style="12" customWidth="1"/>
    <col min="27" max="27" width="9.109375" style="12"/>
    <col min="28" max="28" width="13" style="12" bestFit="1" customWidth="1"/>
    <col min="29" max="29" width="50.44140625" style="73" customWidth="1"/>
    <col min="30" max="30" width="19" style="11" bestFit="1" customWidth="1"/>
    <col min="31" max="31" width="9.109375" style="12"/>
    <col min="32" max="34" width="9.109375" style="31"/>
    <col min="35" max="16384" width="9.109375" style="12"/>
  </cols>
  <sheetData>
    <row r="1" spans="1:31" s="2" customFormat="1" ht="39.9" customHeight="1" x14ac:dyDescent="0.3">
      <c r="A1" s="145" t="s">
        <v>16</v>
      </c>
      <c r="B1" s="145"/>
      <c r="C1" s="145" t="s">
        <v>17</v>
      </c>
      <c r="D1" s="145"/>
      <c r="E1" s="145"/>
      <c r="F1" s="145"/>
      <c r="G1" s="145"/>
      <c r="H1" s="145"/>
      <c r="I1" s="145"/>
      <c r="J1" s="145" t="s">
        <v>18</v>
      </c>
      <c r="K1" s="145"/>
      <c r="L1" s="145"/>
      <c r="M1" s="145" t="s">
        <v>19</v>
      </c>
      <c r="N1" s="145"/>
      <c r="O1" s="145"/>
      <c r="P1" s="145"/>
      <c r="Q1" s="145"/>
      <c r="R1" s="145" t="s">
        <v>20</v>
      </c>
      <c r="S1" s="145"/>
      <c r="T1" s="145"/>
      <c r="U1" s="145" t="s">
        <v>21</v>
      </c>
      <c r="V1" s="145"/>
      <c r="W1" s="145"/>
      <c r="X1" s="145"/>
      <c r="Y1" s="145"/>
      <c r="Z1" s="5" t="s">
        <v>22</v>
      </c>
      <c r="AA1" s="32">
        <f>IF(COUNTIF($T:$T,"=Yes")&gt;NumberofTeamsAdvancing,1,0)</f>
        <v>0</v>
      </c>
      <c r="AC1" s="94"/>
      <c r="AD1" s="30"/>
      <c r="AE1" s="30"/>
    </row>
    <row r="2" spans="1:31" s="19" customFormat="1" ht="118.5" customHeight="1" x14ac:dyDescent="0.3">
      <c r="A2" s="13" t="s">
        <v>9</v>
      </c>
      <c r="B2" s="13" t="s">
        <v>10</v>
      </c>
      <c r="C2" s="89" t="s">
        <v>23</v>
      </c>
      <c r="D2" s="89" t="s">
        <v>24</v>
      </c>
      <c r="E2" s="89" t="s">
        <v>25</v>
      </c>
      <c r="F2" s="89" t="s">
        <v>26</v>
      </c>
      <c r="G2" s="89" t="s">
        <v>27</v>
      </c>
      <c r="H2" s="89" t="s">
        <v>28</v>
      </c>
      <c r="I2" s="91" t="s">
        <v>29</v>
      </c>
      <c r="J2" s="14" t="s">
        <v>30</v>
      </c>
      <c r="K2" s="15" t="s">
        <v>31</v>
      </c>
      <c r="L2" s="90" t="s">
        <v>32</v>
      </c>
      <c r="M2" s="16" t="s">
        <v>33</v>
      </c>
      <c r="N2" s="17" t="s">
        <v>34</v>
      </c>
      <c r="O2" s="18" t="s">
        <v>35</v>
      </c>
      <c r="P2" s="18" t="s">
        <v>36</v>
      </c>
      <c r="Q2" s="18" t="s">
        <v>37</v>
      </c>
      <c r="R2" s="37" t="s">
        <v>38</v>
      </c>
      <c r="S2" s="37" t="s">
        <v>39</v>
      </c>
      <c r="T2" s="37" t="s">
        <v>40</v>
      </c>
      <c r="U2" s="66" t="s">
        <v>41</v>
      </c>
      <c r="V2" s="67" t="s">
        <v>42</v>
      </c>
      <c r="W2" s="68" t="s">
        <v>43</v>
      </c>
      <c r="X2" s="69" t="s">
        <v>44</v>
      </c>
      <c r="Y2" s="70" t="s">
        <v>45</v>
      </c>
      <c r="Z2" s="71" t="s">
        <v>22</v>
      </c>
      <c r="AC2" s="95" t="s">
        <v>46</v>
      </c>
      <c r="AD2" s="32" t="s">
        <v>47</v>
      </c>
      <c r="AE2" s="36" t="s">
        <v>48</v>
      </c>
    </row>
    <row r="3" spans="1:31" s="45" customFormat="1" ht="20.25" customHeight="1" x14ac:dyDescent="0.3">
      <c r="A3" s="40"/>
      <c r="B3" s="41" t="str">
        <f>IF(ISNA(INDEX(OfficialTeamList[Team Name],MATCH(TournamentData[[#This Row],[Team Number]], OfficialTeamList[Team Number],0))),"",INDEX(OfficialTeamList[Team Name],MATCH(TournamentData[[#This Row],[Team Number]], OfficialTeamList[Team Number],0)))</f>
        <v/>
      </c>
      <c r="C3" s="42" t="str">
        <f>IF(TournamentData[[#This Row],[Team Number]]="","",IF(ISNA(INDEX('Robot Game Scores'!C:C,MATCH(TournamentData[[#This Row],[Team Number]], 'Robot Game Scores'!$B:$B,0))),0,INDEX('Robot Game Scores'!C:C,MATCH(TournamentData[[#This Row],[Team Number]], 'Robot Game Scores'!$B:$B,0))))</f>
        <v/>
      </c>
      <c r="D3" s="42" t="str">
        <f>IF(TournamentData[[#This Row],[Team Number]]="","",IF(ISNA(INDEX('Robot Game Scores'!D:D,MATCH(TournamentData[[#This Row],[Team Number]], 'Robot Game Scores'!$B:$B,0))),0,INDEX('Robot Game Scores'!D:D,MATCH(TournamentData[[#This Row],[Team Number]], 'Robot Game Scores'!$B:$B,0))))</f>
        <v/>
      </c>
      <c r="E3" s="42" t="str">
        <f>IF(TournamentData[[#This Row],[Team Number]]="","",IF(ISNA(INDEX('Robot Game Scores'!E:E,MATCH(TournamentData[[#This Row],[Team Number]], 'Robot Game Scores'!$B:$B,0))),0,INDEX('Robot Game Scores'!E:E,MATCH(TournamentData[[#This Row],[Team Number]], 'Robot Game Scores'!$B:$B,0))))</f>
        <v/>
      </c>
      <c r="F3" s="42" t="str">
        <f>IF(TournamentData[[#This Row],[Team Number]]="","",IF(ISNA(INDEX('Robot Game Scores'!F:F,MATCH(TournamentData[[#This Row],[Team Number]], 'Robot Game Scores'!$B:$B,0))),0,INDEX('Robot Game Scores'!F:F,MATCH(TournamentData[[#This Row],[Team Number]], 'Robot Game Scores'!$B:$B,0))))</f>
        <v/>
      </c>
      <c r="G3" s="42" t="str">
        <f>IF(TournamentData[[#This Row],[Team Number]]="","",IF(ISNA(INDEX('Robot Game Scores'!G:G,MATCH(TournamentData[[#This Row],[Team Number]], 'Robot Game Scores'!$B:$B,0))),0,INDEX('Robot Game Scores'!G:G,MATCH(TournamentData[[#This Row],[Team Number]], 'Robot Game Scores'!$B:$B,0))))</f>
        <v/>
      </c>
      <c r="H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 s="42" t="str">
        <f>IF(TournamentData[[#This Row],[Team Number]]="","",_xlfn.RANK.EQ(TournamentData[[#This Row],[Max Robot Game Score]],TournamentData[Max Robot Game Score]))</f>
        <v/>
      </c>
      <c r="J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 s="43" t="str">
        <f>IF(TournamentData[[#This Row],[Team Number]]="","",IF(M3,RANK(M3,M$3:M$110,1)-COUNTIF(M$3:M$110,0),NumberOfTeams+1))</f>
        <v/>
      </c>
      <c r="O3" s="44">
        <f>IF(ISNA(INDEX(CoreValuesResults[Breakthrough Selection],MATCH(TournamentData[[#This Row],[Team Number]],CoreValuesResults[Team Number],0))),0, INDEX(CoreValuesResults[Breakthrough Selection],MATCH(TournamentData[[#This Row],[Team Number]],CoreValuesResults[Team Number],0)))</f>
        <v>0</v>
      </c>
      <c r="P3" s="44">
        <f>IF(ISNA(INDEX(CoreValuesResults[Rising All-Star Selection],MATCH(TournamentData[[#This Row],[Team Number]],CoreValuesResults[Team Number],0))),0, INDEX(CoreValuesResults[Rising All-Star Selection],MATCH(TournamentData[[#This Row],[Team Number]],CoreValuesResults[Team Number],0)))</f>
        <v>0</v>
      </c>
      <c r="Q3" s="44">
        <f>IF(ISNA(INDEX(CoreValuesResults[Motivate Selection],MATCH(TournamentData[[#This Row],[Team Number]],CoreValuesResults[Team Number],0))),0, INDEX(CoreValuesResults[Motivate Selection],MATCH(TournamentData[[#This Row],[Team Number]],CoreValuesResults[Team Number],0)))</f>
        <v>0</v>
      </c>
      <c r="T3" s="46"/>
      <c r="U3" s="40">
        <f>IF(ISNA(INDEX(CoreValuesResults[Core Values Score],MATCH(TournamentData[[#This Row],[Team Number]],CoreValuesResults[Team Number],0))),0,INDEX(CoreValuesResults[Core Values Score],MATCH(TournamentData[[#This Row],[Team Number]],CoreValuesResults[Team Number],0)))</f>
        <v>0</v>
      </c>
      <c r="V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 s="40">
        <f>IF(ISNA(INDEX(RobotDesignResults[Robot Design Score],MATCH(TournamentData[[#This Row],[Team Number]],RobotDesignResults[Team Number],0))),0,INDEX(RobotDesignResults[Robot Design Score],MATCH(TournamentData[[#This Row],[Team Number]],RobotDesignResults[Team Number],0)))</f>
        <v>0</v>
      </c>
      <c r="X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 s="48">
        <f t="shared" ref="Y3:Y34" si="0">IF(X3,_xlfn.RANK.EQ(X3,X$3:X$110,0),NumberOfTeams)</f>
        <v>0</v>
      </c>
      <c r="AC3" s="72" t="s">
        <v>49</v>
      </c>
      <c r="AD3" s="49" t="s">
        <v>50</v>
      </c>
      <c r="AE3" s="46" t="s">
        <v>51</v>
      </c>
    </row>
    <row r="4" spans="1:31" s="45" customFormat="1" ht="20.25" customHeight="1" x14ac:dyDescent="0.3">
      <c r="A4" s="40"/>
      <c r="B4" s="41" t="str">
        <f>IF(ISNA(INDEX(OfficialTeamList[Team Name],MATCH(TournamentData[[#This Row],[Team Number]], OfficialTeamList[Team Number],0))),"",INDEX(OfficialTeamList[Team Name],MATCH(TournamentData[[#This Row],[Team Number]], OfficialTeamList[Team Number],0)))</f>
        <v/>
      </c>
      <c r="C4" s="42" t="str">
        <f>IF(TournamentData[[#This Row],[Team Number]]="","",IF(ISNA(INDEX('Robot Game Scores'!C:C,MATCH(TournamentData[[#This Row],[Team Number]], 'Robot Game Scores'!$B:$B,0))),0,INDEX('Robot Game Scores'!C:C,MATCH(TournamentData[[#This Row],[Team Number]], 'Robot Game Scores'!$B:$B,0))))</f>
        <v/>
      </c>
      <c r="D4" s="42" t="str">
        <f>IF(TournamentData[[#This Row],[Team Number]]="","",IF(ISNA(INDEX('Robot Game Scores'!D:D,MATCH(TournamentData[[#This Row],[Team Number]], 'Robot Game Scores'!$B:$B,0))),0,INDEX('Robot Game Scores'!D:D,MATCH(TournamentData[[#This Row],[Team Number]], 'Robot Game Scores'!$B:$B,0))))</f>
        <v/>
      </c>
      <c r="E4" s="42" t="str">
        <f>IF(TournamentData[[#This Row],[Team Number]]="","",IF(ISNA(INDEX('Robot Game Scores'!E:E,MATCH(TournamentData[[#This Row],[Team Number]], 'Robot Game Scores'!$B:$B,0))),0,INDEX('Robot Game Scores'!E:E,MATCH(TournamentData[[#This Row],[Team Number]], 'Robot Game Scores'!$B:$B,0))))</f>
        <v/>
      </c>
      <c r="F4" s="42" t="str">
        <f>IF(TournamentData[[#This Row],[Team Number]]="","",IF(ISNA(INDEX('Robot Game Scores'!F:F,MATCH(TournamentData[[#This Row],[Team Number]], 'Robot Game Scores'!$B:$B,0))),0,INDEX('Robot Game Scores'!F:F,MATCH(TournamentData[[#This Row],[Team Number]], 'Robot Game Scores'!$B:$B,0))))</f>
        <v/>
      </c>
      <c r="G4" s="42" t="str">
        <f>IF(TournamentData[[#This Row],[Team Number]]="","",IF(ISNA(INDEX('Robot Game Scores'!G:G,MATCH(TournamentData[[#This Row],[Team Number]], 'Robot Game Scores'!$B:$B,0))),0,INDEX('Robot Game Scores'!G:G,MATCH(TournamentData[[#This Row],[Team Number]], 'Robot Game Scores'!$B:$B,0))))</f>
        <v/>
      </c>
      <c r="H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 s="42" t="str">
        <f>IF(TournamentData[[#This Row],[Team Number]]="","",_xlfn.RANK.EQ(TournamentData[[#This Row],[Max Robot Game Score]],TournamentData[Max Robot Game Score]))</f>
        <v/>
      </c>
      <c r="J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 s="43" t="str">
        <f>IF(TournamentData[[#This Row],[Team Number]]="","",IF(M4,RANK(M4,M$3:M$110,1)-COUNTIF(M$3:M$110,0),NumberOfTeams+1))</f>
        <v/>
      </c>
      <c r="O4" s="50">
        <f>IF(ISNA(INDEX(CoreValuesResults[Breakthrough Selection],MATCH(TournamentData[[#This Row],[Team Number]],CoreValuesResults[Team Number],0))),0, INDEX(CoreValuesResults[Breakthrough Selection],MATCH(TournamentData[[#This Row],[Team Number]],CoreValuesResults[Team Number],0)))</f>
        <v>0</v>
      </c>
      <c r="P4" s="50">
        <f>IF(ISNA(INDEX(CoreValuesResults[Rising All-Star Selection],MATCH(TournamentData[[#This Row],[Team Number]],CoreValuesResults[Team Number],0))),0, INDEX(CoreValuesResults[Rising All-Star Selection],MATCH(TournamentData[[#This Row],[Team Number]],CoreValuesResults[Team Number],0)))</f>
        <v>0</v>
      </c>
      <c r="Q4" s="50">
        <f>IF(ISNA(INDEX(CoreValuesResults[Motivate Selection],MATCH(TournamentData[[#This Row],[Team Number]],CoreValuesResults[Team Number],0))),0, INDEX(CoreValuesResults[Motivate Selection],MATCH(TournamentData[[#This Row],[Team Number]],CoreValuesResults[Team Number],0)))</f>
        <v>0</v>
      </c>
      <c r="T4" s="46"/>
      <c r="U4" s="40">
        <f>IF(ISNA(INDEX(CoreValuesResults[Core Values Score],MATCH(TournamentData[[#This Row],[Team Number]],CoreValuesResults[Team Number],0))),0,INDEX(CoreValuesResults[Core Values Score],MATCH(TournamentData[[#This Row],[Team Number]],CoreValuesResults[Team Number],0)))</f>
        <v>0</v>
      </c>
      <c r="V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 s="40">
        <f>IF(ISNA(INDEX(RobotDesignResults[Robot Design Score],MATCH(TournamentData[[#This Row],[Team Number]],RobotDesignResults[Team Number],0))),0,INDEX(RobotDesignResults[Robot Design Score],MATCH(TournamentData[[#This Row],[Team Number]],RobotDesignResults[Team Number],0)))</f>
        <v>0</v>
      </c>
      <c r="X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 s="48">
        <f t="shared" si="0"/>
        <v>0</v>
      </c>
      <c r="AC4" s="72" t="s">
        <v>52</v>
      </c>
      <c r="AD4" s="49"/>
      <c r="AE4" s="46" t="s">
        <v>53</v>
      </c>
    </row>
    <row r="5" spans="1:31" s="45" customFormat="1" ht="20.25" customHeight="1" x14ac:dyDescent="0.3">
      <c r="A5" s="40"/>
      <c r="B5" s="41" t="str">
        <f>IF(ISNA(INDEX(OfficialTeamList[Team Name],MATCH(TournamentData[[#This Row],[Team Number]], OfficialTeamList[Team Number],0))),"",INDEX(OfficialTeamList[Team Name],MATCH(TournamentData[[#This Row],[Team Number]], OfficialTeamList[Team Number],0)))</f>
        <v/>
      </c>
      <c r="C5" s="42" t="str">
        <f>IF(TournamentData[[#This Row],[Team Number]]="","",IF(ISNA(INDEX('Robot Game Scores'!C:C,MATCH(TournamentData[[#This Row],[Team Number]], 'Robot Game Scores'!$B:$B,0))),0,INDEX('Robot Game Scores'!C:C,MATCH(TournamentData[[#This Row],[Team Number]], 'Robot Game Scores'!$B:$B,0))))</f>
        <v/>
      </c>
      <c r="D5" s="42" t="str">
        <f>IF(TournamentData[[#This Row],[Team Number]]="","",IF(ISNA(INDEX('Robot Game Scores'!D:D,MATCH(TournamentData[[#This Row],[Team Number]], 'Robot Game Scores'!$B:$B,0))),0,INDEX('Robot Game Scores'!D:D,MATCH(TournamentData[[#This Row],[Team Number]], 'Robot Game Scores'!$B:$B,0))))</f>
        <v/>
      </c>
      <c r="E5" s="42" t="str">
        <f>IF(TournamentData[[#This Row],[Team Number]]="","",IF(ISNA(INDEX('Robot Game Scores'!E:E,MATCH(TournamentData[[#This Row],[Team Number]], 'Robot Game Scores'!$B:$B,0))),0,INDEX('Robot Game Scores'!E:E,MATCH(TournamentData[[#This Row],[Team Number]], 'Robot Game Scores'!$B:$B,0))))</f>
        <v/>
      </c>
      <c r="F5" s="42" t="str">
        <f>IF(TournamentData[[#This Row],[Team Number]]="","",IF(ISNA(INDEX('Robot Game Scores'!F:F,MATCH(TournamentData[[#This Row],[Team Number]], 'Robot Game Scores'!$B:$B,0))),0,INDEX('Robot Game Scores'!F:F,MATCH(TournamentData[[#This Row],[Team Number]], 'Robot Game Scores'!$B:$B,0))))</f>
        <v/>
      </c>
      <c r="G5" s="42" t="str">
        <f>IF(TournamentData[[#This Row],[Team Number]]="","",IF(ISNA(INDEX('Robot Game Scores'!G:G,MATCH(TournamentData[[#This Row],[Team Number]], 'Robot Game Scores'!$B:$B,0))),0,INDEX('Robot Game Scores'!G:G,MATCH(TournamentData[[#This Row],[Team Number]], 'Robot Game Scores'!$B:$B,0))))</f>
        <v/>
      </c>
      <c r="H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 s="42" t="str">
        <f>IF(TournamentData[[#This Row],[Team Number]]="","",_xlfn.RANK.EQ(TournamentData[[#This Row],[Max Robot Game Score]],TournamentData[Max Robot Game Score]))</f>
        <v/>
      </c>
      <c r="J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 s="43" t="str">
        <f>IF(TournamentData[[#This Row],[Team Number]]="","",IF(M5,RANK(M5,M$3:M$110,1)-COUNTIF(M$3:M$110,0),NumberOfTeams+1))</f>
        <v/>
      </c>
      <c r="O5" s="44">
        <f>IF(ISNA(INDEX(CoreValuesResults[Breakthrough Selection],MATCH(TournamentData[[#This Row],[Team Number]],CoreValuesResults[Team Number],0))),0, INDEX(CoreValuesResults[Breakthrough Selection],MATCH(TournamentData[[#This Row],[Team Number]],CoreValuesResults[Team Number],0)))</f>
        <v>0</v>
      </c>
      <c r="P5" s="44">
        <f>IF(ISNA(INDEX(CoreValuesResults[Rising All-Star Selection],MATCH(TournamentData[[#This Row],[Team Number]],CoreValuesResults[Team Number],0))),0, INDEX(CoreValuesResults[Rising All-Star Selection],MATCH(TournamentData[[#This Row],[Team Number]],CoreValuesResults[Team Number],0)))</f>
        <v>0</v>
      </c>
      <c r="Q5" s="44">
        <f>IF(ISNA(INDEX(CoreValuesResults[Motivate Selection],MATCH(TournamentData[[#This Row],[Team Number]],CoreValuesResults[Team Number],0))),0, INDEX(CoreValuesResults[Motivate Selection],MATCH(TournamentData[[#This Row],[Team Number]],CoreValuesResults[Team Number],0)))</f>
        <v>0</v>
      </c>
      <c r="T5" s="46"/>
      <c r="U5" s="40">
        <f>IF(ISNA(INDEX(CoreValuesResults[Core Values Score],MATCH(TournamentData[[#This Row],[Team Number]],CoreValuesResults[Team Number],0))),0,INDEX(CoreValuesResults[Core Values Score],MATCH(TournamentData[[#This Row],[Team Number]],CoreValuesResults[Team Number],0)))</f>
        <v>0</v>
      </c>
      <c r="V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 s="40">
        <f>IF(ISNA(INDEX(RobotDesignResults[Robot Design Score],MATCH(TournamentData[[#This Row],[Team Number]],RobotDesignResults[Team Number],0))),0,INDEX(RobotDesignResults[Robot Design Score],MATCH(TournamentData[[#This Row],[Team Number]],RobotDesignResults[Team Number],0)))</f>
        <v>0</v>
      </c>
      <c r="X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 s="48">
        <f t="shared" si="0"/>
        <v>0</v>
      </c>
      <c r="AC5" s="72" t="s">
        <v>54</v>
      </c>
      <c r="AD5" s="49"/>
      <c r="AE5" s="46" t="s">
        <v>55</v>
      </c>
    </row>
    <row r="6" spans="1:31" s="45" customFormat="1" ht="20.25" customHeight="1" x14ac:dyDescent="0.3">
      <c r="A6" s="40"/>
      <c r="B6" s="41" t="str">
        <f>IF(ISNA(INDEX(OfficialTeamList[Team Name],MATCH(TournamentData[[#This Row],[Team Number]], OfficialTeamList[Team Number],0))),"",INDEX(OfficialTeamList[Team Name],MATCH(TournamentData[[#This Row],[Team Number]], OfficialTeamList[Team Number],0)))</f>
        <v/>
      </c>
      <c r="C6" s="42" t="str">
        <f>IF(TournamentData[[#This Row],[Team Number]]="","",IF(ISNA(INDEX('Robot Game Scores'!C:C,MATCH(TournamentData[[#This Row],[Team Number]], 'Robot Game Scores'!$B:$B,0))),0,INDEX('Robot Game Scores'!C:C,MATCH(TournamentData[[#This Row],[Team Number]], 'Robot Game Scores'!$B:$B,0))))</f>
        <v/>
      </c>
      <c r="D6" s="42" t="str">
        <f>IF(TournamentData[[#This Row],[Team Number]]="","",IF(ISNA(INDEX('Robot Game Scores'!D:D,MATCH(TournamentData[[#This Row],[Team Number]], 'Robot Game Scores'!$B:$B,0))),0,INDEX('Robot Game Scores'!D:D,MATCH(TournamentData[[#This Row],[Team Number]], 'Robot Game Scores'!$B:$B,0))))</f>
        <v/>
      </c>
      <c r="E6" s="42" t="str">
        <f>IF(TournamentData[[#This Row],[Team Number]]="","",IF(ISNA(INDEX('Robot Game Scores'!E:E,MATCH(TournamentData[[#This Row],[Team Number]], 'Robot Game Scores'!$B:$B,0))),0,INDEX('Robot Game Scores'!E:E,MATCH(TournamentData[[#This Row],[Team Number]], 'Robot Game Scores'!$B:$B,0))))</f>
        <v/>
      </c>
      <c r="F6" s="42" t="str">
        <f>IF(TournamentData[[#This Row],[Team Number]]="","",IF(ISNA(INDEX('Robot Game Scores'!F:F,MATCH(TournamentData[[#This Row],[Team Number]], 'Robot Game Scores'!$B:$B,0))),0,INDEX('Robot Game Scores'!F:F,MATCH(TournamentData[[#This Row],[Team Number]], 'Robot Game Scores'!$B:$B,0))))</f>
        <v/>
      </c>
      <c r="G6" s="42" t="str">
        <f>IF(TournamentData[[#This Row],[Team Number]]="","",IF(ISNA(INDEX('Robot Game Scores'!G:G,MATCH(TournamentData[[#This Row],[Team Number]], 'Robot Game Scores'!$B:$B,0))),0,INDEX('Robot Game Scores'!G:G,MATCH(TournamentData[[#This Row],[Team Number]], 'Robot Game Scores'!$B:$B,0))))</f>
        <v/>
      </c>
      <c r="H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 s="42" t="str">
        <f>IF(TournamentData[[#This Row],[Team Number]]="","",_xlfn.RANK.EQ(TournamentData[[#This Row],[Max Robot Game Score]],TournamentData[Max Robot Game Score]))</f>
        <v/>
      </c>
      <c r="J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 s="43" t="str">
        <f>IF(TournamentData[[#This Row],[Team Number]]="","",IF(M6,RANK(M6,M$3:M$110,1)-COUNTIF(M$3:M$110,0),NumberOfTeams+1))</f>
        <v/>
      </c>
      <c r="O6" s="44">
        <f>IF(ISNA(INDEX(CoreValuesResults[Breakthrough Selection],MATCH(TournamentData[[#This Row],[Team Number]],CoreValuesResults[Team Number],0))),0, INDEX(CoreValuesResults[Breakthrough Selection],MATCH(TournamentData[[#This Row],[Team Number]],CoreValuesResults[Team Number],0)))</f>
        <v>0</v>
      </c>
      <c r="P6" s="44">
        <f>IF(ISNA(INDEX(CoreValuesResults[Rising All-Star Selection],MATCH(TournamentData[[#This Row],[Team Number]],CoreValuesResults[Team Number],0))),0, INDEX(CoreValuesResults[Rising All-Star Selection],MATCH(TournamentData[[#This Row],[Team Number]],CoreValuesResults[Team Number],0)))</f>
        <v>0</v>
      </c>
      <c r="Q6" s="44">
        <f>IF(ISNA(INDEX(CoreValuesResults[Motivate Selection],MATCH(TournamentData[[#This Row],[Team Number]],CoreValuesResults[Team Number],0))),0, INDEX(CoreValuesResults[Motivate Selection],MATCH(TournamentData[[#This Row],[Team Number]],CoreValuesResults[Team Number],0)))</f>
        <v>0</v>
      </c>
      <c r="T6" s="46"/>
      <c r="U6" s="40">
        <f>IF(ISNA(INDEX(CoreValuesResults[Core Values Score],MATCH(TournamentData[[#This Row],[Team Number]],CoreValuesResults[Team Number],0))),0,INDEX(CoreValuesResults[Core Values Score],MATCH(TournamentData[[#This Row],[Team Number]],CoreValuesResults[Team Number],0)))</f>
        <v>0</v>
      </c>
      <c r="V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 s="40">
        <f>IF(ISNA(INDEX(RobotDesignResults[Robot Design Score],MATCH(TournamentData[[#This Row],[Team Number]],RobotDesignResults[Team Number],0))),0,INDEX(RobotDesignResults[Robot Design Score],MATCH(TournamentData[[#This Row],[Team Number]],RobotDesignResults[Team Number],0)))</f>
        <v>0</v>
      </c>
      <c r="X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 s="48">
        <f t="shared" si="0"/>
        <v>0</v>
      </c>
      <c r="AC6" s="72" t="s">
        <v>56</v>
      </c>
      <c r="AD6" s="72"/>
      <c r="AE6" s="46"/>
    </row>
    <row r="7" spans="1:31" s="45" customFormat="1" ht="20.25" customHeight="1" x14ac:dyDescent="0.3">
      <c r="A7" s="40"/>
      <c r="B7" s="41" t="str">
        <f>IF(ISNA(INDEX(OfficialTeamList[Team Name],MATCH(TournamentData[[#This Row],[Team Number]], OfficialTeamList[Team Number],0))),"",INDEX(OfficialTeamList[Team Name],MATCH(TournamentData[[#This Row],[Team Number]], OfficialTeamList[Team Number],0)))</f>
        <v/>
      </c>
      <c r="C7" s="42" t="str">
        <f>IF(TournamentData[[#This Row],[Team Number]]="","",IF(ISNA(INDEX('Robot Game Scores'!C:C,MATCH(TournamentData[[#This Row],[Team Number]], 'Robot Game Scores'!$B:$B,0))),0,INDEX('Robot Game Scores'!C:C,MATCH(TournamentData[[#This Row],[Team Number]], 'Robot Game Scores'!$B:$B,0))))</f>
        <v/>
      </c>
      <c r="D7" s="42" t="str">
        <f>IF(TournamentData[[#This Row],[Team Number]]="","",IF(ISNA(INDEX('Robot Game Scores'!D:D,MATCH(TournamentData[[#This Row],[Team Number]], 'Robot Game Scores'!$B:$B,0))),0,INDEX('Robot Game Scores'!D:D,MATCH(TournamentData[[#This Row],[Team Number]], 'Robot Game Scores'!$B:$B,0))))</f>
        <v/>
      </c>
      <c r="E7" s="42" t="str">
        <f>IF(TournamentData[[#This Row],[Team Number]]="","",IF(ISNA(INDEX('Robot Game Scores'!E:E,MATCH(TournamentData[[#This Row],[Team Number]], 'Robot Game Scores'!$B:$B,0))),0,INDEX('Robot Game Scores'!E:E,MATCH(TournamentData[[#This Row],[Team Number]], 'Robot Game Scores'!$B:$B,0))))</f>
        <v/>
      </c>
      <c r="F7" s="42" t="str">
        <f>IF(TournamentData[[#This Row],[Team Number]]="","",IF(ISNA(INDEX('Robot Game Scores'!F:F,MATCH(TournamentData[[#This Row],[Team Number]], 'Robot Game Scores'!$B:$B,0))),0,INDEX('Robot Game Scores'!F:F,MATCH(TournamentData[[#This Row],[Team Number]], 'Robot Game Scores'!$B:$B,0))))</f>
        <v/>
      </c>
      <c r="G7" s="42" t="str">
        <f>IF(TournamentData[[#This Row],[Team Number]]="","",IF(ISNA(INDEX('Robot Game Scores'!G:G,MATCH(TournamentData[[#This Row],[Team Number]], 'Robot Game Scores'!$B:$B,0))),0,INDEX('Robot Game Scores'!G:G,MATCH(TournamentData[[#This Row],[Team Number]], 'Robot Game Scores'!$B:$B,0))))</f>
        <v/>
      </c>
      <c r="H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 s="42" t="str">
        <f>IF(TournamentData[[#This Row],[Team Number]]="","",_xlfn.RANK.EQ(TournamentData[[#This Row],[Max Robot Game Score]],TournamentData[Max Robot Game Score]))</f>
        <v/>
      </c>
      <c r="J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 s="43" t="str">
        <f>IF(TournamentData[[#This Row],[Team Number]]="","",IF(M7,RANK(M7,M$3:M$110,1)-COUNTIF(M$3:M$110,0),NumberOfTeams+1))</f>
        <v/>
      </c>
      <c r="O7" s="44">
        <f>IF(ISNA(INDEX(CoreValuesResults[Breakthrough Selection],MATCH(TournamentData[[#This Row],[Team Number]],CoreValuesResults[Team Number],0))),0, INDEX(CoreValuesResults[Breakthrough Selection],MATCH(TournamentData[[#This Row],[Team Number]],CoreValuesResults[Team Number],0)))</f>
        <v>0</v>
      </c>
      <c r="P7" s="44">
        <f>IF(ISNA(INDEX(CoreValuesResults[Rising All-Star Selection],MATCH(TournamentData[[#This Row],[Team Number]],CoreValuesResults[Team Number],0))),0, INDEX(CoreValuesResults[Rising All-Star Selection],MATCH(TournamentData[[#This Row],[Team Number]],CoreValuesResults[Team Number],0)))</f>
        <v>0</v>
      </c>
      <c r="Q7" s="44">
        <f>IF(ISNA(INDEX(CoreValuesResults[Motivate Selection],MATCH(TournamentData[[#This Row],[Team Number]],CoreValuesResults[Team Number],0))),0, INDEX(CoreValuesResults[Motivate Selection],MATCH(TournamentData[[#This Row],[Team Number]],CoreValuesResults[Team Number],0)))</f>
        <v>0</v>
      </c>
      <c r="T7" s="46"/>
      <c r="U7" s="40">
        <f>IF(ISNA(INDEX(CoreValuesResults[Core Values Score],MATCH(TournamentData[[#This Row],[Team Number]],CoreValuesResults[Team Number],0))),0,INDEX(CoreValuesResults[Core Values Score],MATCH(TournamentData[[#This Row],[Team Number]],CoreValuesResults[Team Number],0)))</f>
        <v>0</v>
      </c>
      <c r="V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 s="40">
        <f>IF(ISNA(INDEX(RobotDesignResults[Robot Design Score],MATCH(TournamentData[[#This Row],[Team Number]],RobotDesignResults[Team Number],0))),0,INDEX(RobotDesignResults[Robot Design Score],MATCH(TournamentData[[#This Row],[Team Number]],RobotDesignResults[Team Number],0)))</f>
        <v>0</v>
      </c>
      <c r="X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 s="48">
        <f t="shared" si="0"/>
        <v>0</v>
      </c>
      <c r="AC7" s="72" t="s">
        <v>35</v>
      </c>
      <c r="AD7" s="49"/>
      <c r="AE7" s="46"/>
    </row>
    <row r="8" spans="1:31" s="45" customFormat="1" ht="20.25" customHeight="1" x14ac:dyDescent="0.3">
      <c r="A8" s="40"/>
      <c r="B8" s="41" t="str">
        <f>IF(ISNA(INDEX(OfficialTeamList[Team Name],MATCH(TournamentData[[#This Row],[Team Number]], OfficialTeamList[Team Number],0))),"",INDEX(OfficialTeamList[Team Name],MATCH(TournamentData[[#This Row],[Team Number]], OfficialTeamList[Team Number],0)))</f>
        <v/>
      </c>
      <c r="C8" s="42" t="str">
        <f>IF(TournamentData[[#This Row],[Team Number]]="","",IF(ISNA(INDEX('Robot Game Scores'!C:C,MATCH(TournamentData[[#This Row],[Team Number]], 'Robot Game Scores'!$B:$B,0))),0,INDEX('Robot Game Scores'!C:C,MATCH(TournamentData[[#This Row],[Team Number]], 'Robot Game Scores'!$B:$B,0))))</f>
        <v/>
      </c>
      <c r="D8" s="42" t="str">
        <f>IF(TournamentData[[#This Row],[Team Number]]="","",IF(ISNA(INDEX('Robot Game Scores'!D:D,MATCH(TournamentData[[#This Row],[Team Number]], 'Robot Game Scores'!$B:$B,0))),0,INDEX('Robot Game Scores'!D:D,MATCH(TournamentData[[#This Row],[Team Number]], 'Robot Game Scores'!$B:$B,0))))</f>
        <v/>
      </c>
      <c r="E8" s="42" t="str">
        <f>IF(TournamentData[[#This Row],[Team Number]]="","",IF(ISNA(INDEX('Robot Game Scores'!E:E,MATCH(TournamentData[[#This Row],[Team Number]], 'Robot Game Scores'!$B:$B,0))),0,INDEX('Robot Game Scores'!E:E,MATCH(TournamentData[[#This Row],[Team Number]], 'Robot Game Scores'!$B:$B,0))))</f>
        <v/>
      </c>
      <c r="F8" s="42" t="str">
        <f>IF(TournamentData[[#This Row],[Team Number]]="","",IF(ISNA(INDEX('Robot Game Scores'!F:F,MATCH(TournamentData[[#This Row],[Team Number]], 'Robot Game Scores'!$B:$B,0))),0,INDEX('Robot Game Scores'!F:F,MATCH(TournamentData[[#This Row],[Team Number]], 'Robot Game Scores'!$B:$B,0))))</f>
        <v/>
      </c>
      <c r="G8" s="42" t="str">
        <f>IF(TournamentData[[#This Row],[Team Number]]="","",IF(ISNA(INDEX('Robot Game Scores'!G:G,MATCH(TournamentData[[#This Row],[Team Number]], 'Robot Game Scores'!$B:$B,0))),0,INDEX('Robot Game Scores'!G:G,MATCH(TournamentData[[#This Row],[Team Number]], 'Robot Game Scores'!$B:$B,0))))</f>
        <v/>
      </c>
      <c r="H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 s="42" t="str">
        <f>IF(TournamentData[[#This Row],[Team Number]]="","",_xlfn.RANK.EQ(TournamentData[[#This Row],[Max Robot Game Score]],TournamentData[Max Robot Game Score]))</f>
        <v/>
      </c>
      <c r="J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 s="43" t="str">
        <f>IF(TournamentData[[#This Row],[Team Number]]="","",IF(M8,RANK(M8,M$3:M$110,1)-COUNTIF(M$3:M$110,0),NumberOfTeams+1))</f>
        <v/>
      </c>
      <c r="O8" s="44">
        <f>IF(ISNA(INDEX(CoreValuesResults[Breakthrough Selection],MATCH(TournamentData[[#This Row],[Team Number]],CoreValuesResults[Team Number],0))),0, INDEX(CoreValuesResults[Breakthrough Selection],MATCH(TournamentData[[#This Row],[Team Number]],CoreValuesResults[Team Number],0)))</f>
        <v>0</v>
      </c>
      <c r="P8" s="44">
        <f>IF(ISNA(INDEX(CoreValuesResults[Rising All-Star Selection],MATCH(TournamentData[[#This Row],[Team Number]],CoreValuesResults[Team Number],0))),0, INDEX(CoreValuesResults[Rising All-Star Selection],MATCH(TournamentData[[#This Row],[Team Number]],CoreValuesResults[Team Number],0)))</f>
        <v>0</v>
      </c>
      <c r="Q8" s="44">
        <f>IF(ISNA(INDEX(CoreValuesResults[Motivate Selection],MATCH(TournamentData[[#This Row],[Team Number]],CoreValuesResults[Team Number],0))),0, INDEX(CoreValuesResults[Motivate Selection],MATCH(TournamentData[[#This Row],[Team Number]],CoreValuesResults[Team Number],0)))</f>
        <v>0</v>
      </c>
      <c r="T8" s="46"/>
      <c r="U8" s="40">
        <f>IF(ISNA(INDEX(CoreValuesResults[Core Values Score],MATCH(TournamentData[[#This Row],[Team Number]],CoreValuesResults[Team Number],0))),0,INDEX(CoreValuesResults[Core Values Score],MATCH(TournamentData[[#This Row],[Team Number]],CoreValuesResults[Team Number],0)))</f>
        <v>0</v>
      </c>
      <c r="V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 s="40">
        <f>IF(ISNA(INDEX(RobotDesignResults[Robot Design Score],MATCH(TournamentData[[#This Row],[Team Number]],RobotDesignResults[Team Number],0))),0,INDEX(RobotDesignResults[Robot Design Score],MATCH(TournamentData[[#This Row],[Team Number]],RobotDesignResults[Team Number],0)))</f>
        <v>0</v>
      </c>
      <c r="X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 s="48">
        <f t="shared" si="0"/>
        <v>0</v>
      </c>
      <c r="AC8" s="72" t="s">
        <v>36</v>
      </c>
      <c r="AD8" s="49"/>
      <c r="AE8" s="46"/>
    </row>
    <row r="9" spans="1:31" s="45" customFormat="1" ht="20.25" customHeight="1" x14ac:dyDescent="0.3">
      <c r="A9" s="40"/>
      <c r="B9" s="41" t="str">
        <f>IF(ISNA(INDEX(OfficialTeamList[Team Name],MATCH(TournamentData[[#This Row],[Team Number]], OfficialTeamList[Team Number],0))),"",INDEX(OfficialTeamList[Team Name],MATCH(TournamentData[[#This Row],[Team Number]], OfficialTeamList[Team Number],0)))</f>
        <v/>
      </c>
      <c r="C9" s="42" t="str">
        <f>IF(TournamentData[[#This Row],[Team Number]]="","",IF(ISNA(INDEX('Robot Game Scores'!C:C,MATCH(TournamentData[[#This Row],[Team Number]], 'Robot Game Scores'!$B:$B,0))),0,INDEX('Robot Game Scores'!C:C,MATCH(TournamentData[[#This Row],[Team Number]], 'Robot Game Scores'!$B:$B,0))))</f>
        <v/>
      </c>
      <c r="D9" s="42" t="str">
        <f>IF(TournamentData[[#This Row],[Team Number]]="","",IF(ISNA(INDEX('Robot Game Scores'!D:D,MATCH(TournamentData[[#This Row],[Team Number]], 'Robot Game Scores'!$B:$B,0))),0,INDEX('Robot Game Scores'!D:D,MATCH(TournamentData[[#This Row],[Team Number]], 'Robot Game Scores'!$B:$B,0))))</f>
        <v/>
      </c>
      <c r="E9" s="42" t="str">
        <f>IF(TournamentData[[#This Row],[Team Number]]="","",IF(ISNA(INDEX('Robot Game Scores'!E:E,MATCH(TournamentData[[#This Row],[Team Number]], 'Robot Game Scores'!$B:$B,0))),0,INDEX('Robot Game Scores'!E:E,MATCH(TournamentData[[#This Row],[Team Number]], 'Robot Game Scores'!$B:$B,0))))</f>
        <v/>
      </c>
      <c r="F9" s="42" t="str">
        <f>IF(TournamentData[[#This Row],[Team Number]]="","",IF(ISNA(INDEX('Robot Game Scores'!F:F,MATCH(TournamentData[[#This Row],[Team Number]], 'Robot Game Scores'!$B:$B,0))),0,INDEX('Robot Game Scores'!F:F,MATCH(TournamentData[[#This Row],[Team Number]], 'Robot Game Scores'!$B:$B,0))))</f>
        <v/>
      </c>
      <c r="G9" s="42" t="str">
        <f>IF(TournamentData[[#This Row],[Team Number]]="","",IF(ISNA(INDEX('Robot Game Scores'!G:G,MATCH(TournamentData[[#This Row],[Team Number]], 'Robot Game Scores'!$B:$B,0))),0,INDEX('Robot Game Scores'!G:G,MATCH(TournamentData[[#This Row],[Team Number]], 'Robot Game Scores'!$B:$B,0))))</f>
        <v/>
      </c>
      <c r="H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 s="42" t="str">
        <f>IF(TournamentData[[#This Row],[Team Number]]="","",_xlfn.RANK.EQ(TournamentData[[#This Row],[Max Robot Game Score]],TournamentData[Max Robot Game Score]))</f>
        <v/>
      </c>
      <c r="J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 s="43" t="str">
        <f>IF(TournamentData[[#This Row],[Team Number]]="","",IF(M9,RANK(M9,M$3:M$110,1)-COUNTIF(M$3:M$110,0),NumberOfTeams+1))</f>
        <v/>
      </c>
      <c r="O9" s="44">
        <f>IF(ISNA(INDEX(CoreValuesResults[Breakthrough Selection],MATCH(TournamentData[[#This Row],[Team Number]],CoreValuesResults[Team Number],0))),0, INDEX(CoreValuesResults[Breakthrough Selection],MATCH(TournamentData[[#This Row],[Team Number]],CoreValuesResults[Team Number],0)))</f>
        <v>0</v>
      </c>
      <c r="P9" s="44">
        <f>IF(ISNA(INDEX(CoreValuesResults[Rising All-Star Selection],MATCH(TournamentData[[#This Row],[Team Number]],CoreValuesResults[Team Number],0))),0, INDEX(CoreValuesResults[Rising All-Star Selection],MATCH(TournamentData[[#This Row],[Team Number]],CoreValuesResults[Team Number],0)))</f>
        <v>0</v>
      </c>
      <c r="Q9" s="44">
        <f>IF(ISNA(INDEX(CoreValuesResults[Motivate Selection],MATCH(TournamentData[[#This Row],[Team Number]],CoreValuesResults[Team Number],0))),0, INDEX(CoreValuesResults[Motivate Selection],MATCH(TournamentData[[#This Row],[Team Number]],CoreValuesResults[Team Number],0)))</f>
        <v>0</v>
      </c>
      <c r="T9" s="46"/>
      <c r="U9" s="40">
        <f>IF(ISNA(INDEX(CoreValuesResults[Core Values Score],MATCH(TournamentData[[#This Row],[Team Number]],CoreValuesResults[Team Number],0))),0,INDEX(CoreValuesResults[Core Values Score],MATCH(TournamentData[[#This Row],[Team Number]],CoreValuesResults[Team Number],0)))</f>
        <v>0</v>
      </c>
      <c r="V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 s="40">
        <f>IF(ISNA(INDEX(RobotDesignResults[Robot Design Score],MATCH(TournamentData[[#This Row],[Team Number]],RobotDesignResults[Team Number],0))),0,INDEX(RobotDesignResults[Robot Design Score],MATCH(TournamentData[[#This Row],[Team Number]],RobotDesignResults[Team Number],0)))</f>
        <v>0</v>
      </c>
      <c r="X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 s="48">
        <f t="shared" si="0"/>
        <v>0</v>
      </c>
      <c r="AC9" s="72" t="s">
        <v>37</v>
      </c>
      <c r="AD9" s="49"/>
      <c r="AE9" s="46"/>
    </row>
    <row r="10" spans="1:31" s="45" customFormat="1" ht="20.25" customHeight="1" x14ac:dyDescent="0.3">
      <c r="A10" s="40"/>
      <c r="B10" s="41" t="str">
        <f>IF(ISNA(INDEX(OfficialTeamList[Team Name],MATCH(TournamentData[[#This Row],[Team Number]], OfficialTeamList[Team Number],0))),"",INDEX(OfficialTeamList[Team Name],MATCH(TournamentData[[#This Row],[Team Number]], OfficialTeamList[Team Number],0)))</f>
        <v/>
      </c>
      <c r="C10" s="42" t="str">
        <f>IF(TournamentData[[#This Row],[Team Number]]="","",IF(ISNA(INDEX('Robot Game Scores'!C:C,MATCH(TournamentData[[#This Row],[Team Number]], 'Robot Game Scores'!$B:$B,0))),0,INDEX('Robot Game Scores'!C:C,MATCH(TournamentData[[#This Row],[Team Number]], 'Robot Game Scores'!$B:$B,0))))</f>
        <v/>
      </c>
      <c r="D10" s="42" t="str">
        <f>IF(TournamentData[[#This Row],[Team Number]]="","",IF(ISNA(INDEX('Robot Game Scores'!D:D,MATCH(TournamentData[[#This Row],[Team Number]], 'Robot Game Scores'!$B:$B,0))),0,INDEX('Robot Game Scores'!D:D,MATCH(TournamentData[[#This Row],[Team Number]], 'Robot Game Scores'!$B:$B,0))))</f>
        <v/>
      </c>
      <c r="E10" s="42" t="str">
        <f>IF(TournamentData[[#This Row],[Team Number]]="","",IF(ISNA(INDEX('Robot Game Scores'!E:E,MATCH(TournamentData[[#This Row],[Team Number]], 'Robot Game Scores'!$B:$B,0))),0,INDEX('Robot Game Scores'!E:E,MATCH(TournamentData[[#This Row],[Team Number]], 'Robot Game Scores'!$B:$B,0))))</f>
        <v/>
      </c>
      <c r="F10" s="42" t="str">
        <f>IF(TournamentData[[#This Row],[Team Number]]="","",IF(ISNA(INDEX('Robot Game Scores'!F:F,MATCH(TournamentData[[#This Row],[Team Number]], 'Robot Game Scores'!$B:$B,0))),0,INDEX('Robot Game Scores'!F:F,MATCH(TournamentData[[#This Row],[Team Number]], 'Robot Game Scores'!$B:$B,0))))</f>
        <v/>
      </c>
      <c r="G10" s="42" t="str">
        <f>IF(TournamentData[[#This Row],[Team Number]]="","",IF(ISNA(INDEX('Robot Game Scores'!G:G,MATCH(TournamentData[[#This Row],[Team Number]], 'Robot Game Scores'!$B:$B,0))),0,INDEX('Robot Game Scores'!G:G,MATCH(TournamentData[[#This Row],[Team Number]], 'Robot Game Scores'!$B:$B,0))))</f>
        <v/>
      </c>
      <c r="H1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 s="42" t="str">
        <f>IF(TournamentData[[#This Row],[Team Number]]="","",_xlfn.RANK.EQ(TournamentData[[#This Row],[Max Robot Game Score]],TournamentData[Max Robot Game Score]))</f>
        <v/>
      </c>
      <c r="J1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 s="43" t="str">
        <f>IF(TournamentData[[#This Row],[Team Number]]="","",IF(M10,RANK(M10,M$3:M$110,1)-COUNTIF(M$3:M$110,0),NumberOfTeams+1))</f>
        <v/>
      </c>
      <c r="O10" s="44">
        <f>IF(ISNA(INDEX(CoreValuesResults[Breakthrough Selection],MATCH(TournamentData[[#This Row],[Team Number]],CoreValuesResults[Team Number],0))),0, INDEX(CoreValuesResults[Breakthrough Selection],MATCH(TournamentData[[#This Row],[Team Number]],CoreValuesResults[Team Number],0)))</f>
        <v>0</v>
      </c>
      <c r="P10" s="44">
        <f>IF(ISNA(INDEX(CoreValuesResults[Rising All-Star Selection],MATCH(TournamentData[[#This Row],[Team Number]],CoreValuesResults[Team Number],0))),0, INDEX(CoreValuesResults[Rising All-Star Selection],MATCH(TournamentData[[#This Row],[Team Number]],CoreValuesResults[Team Number],0)))</f>
        <v>0</v>
      </c>
      <c r="Q10" s="44">
        <f>IF(ISNA(INDEX(CoreValuesResults[Motivate Selection],MATCH(TournamentData[[#This Row],[Team Number]],CoreValuesResults[Team Number],0))),0, INDEX(CoreValuesResults[Motivate Selection],MATCH(TournamentData[[#This Row],[Team Number]],CoreValuesResults[Team Number],0)))</f>
        <v>0</v>
      </c>
      <c r="T10" s="46"/>
      <c r="U10" s="40">
        <f>IF(ISNA(INDEX(CoreValuesResults[Core Values Score],MATCH(TournamentData[[#This Row],[Team Number]],CoreValuesResults[Team Number],0))),0,INDEX(CoreValuesResults[Core Values Score],MATCH(TournamentData[[#This Row],[Team Number]],CoreValuesResults[Team Number],0)))</f>
        <v>0</v>
      </c>
      <c r="V1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 s="40">
        <f>IF(ISNA(INDEX(RobotDesignResults[Robot Design Score],MATCH(TournamentData[[#This Row],[Team Number]],RobotDesignResults[Team Number],0))),0,INDEX(RobotDesignResults[Robot Design Score],MATCH(TournamentData[[#This Row],[Team Number]],RobotDesignResults[Team Number],0)))</f>
        <v>0</v>
      </c>
      <c r="X1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 s="48">
        <f t="shared" si="0"/>
        <v>0</v>
      </c>
      <c r="AC10" s="73"/>
      <c r="AD10" s="49"/>
      <c r="AE10" s="46"/>
    </row>
    <row r="11" spans="1:31" s="45" customFormat="1" ht="20.25" customHeight="1" x14ac:dyDescent="0.3">
      <c r="A11" s="40"/>
      <c r="B11" s="41" t="str">
        <f>IF(ISNA(INDEX(OfficialTeamList[Team Name],MATCH(TournamentData[[#This Row],[Team Number]], OfficialTeamList[Team Number],0))),"",INDEX(OfficialTeamList[Team Name],MATCH(TournamentData[[#This Row],[Team Number]], OfficialTeamList[Team Number],0)))</f>
        <v/>
      </c>
      <c r="C11" s="42" t="str">
        <f>IF(TournamentData[[#This Row],[Team Number]]="","",IF(ISNA(INDEX('Robot Game Scores'!C:C,MATCH(TournamentData[[#This Row],[Team Number]], 'Robot Game Scores'!$B:$B,0))),0,INDEX('Robot Game Scores'!C:C,MATCH(TournamentData[[#This Row],[Team Number]], 'Robot Game Scores'!$B:$B,0))))</f>
        <v/>
      </c>
      <c r="D11" s="42" t="str">
        <f>IF(TournamentData[[#This Row],[Team Number]]="","",IF(ISNA(INDEX('Robot Game Scores'!D:D,MATCH(TournamentData[[#This Row],[Team Number]], 'Robot Game Scores'!$B:$B,0))),0,INDEX('Robot Game Scores'!D:D,MATCH(TournamentData[[#This Row],[Team Number]], 'Robot Game Scores'!$B:$B,0))))</f>
        <v/>
      </c>
      <c r="E11" s="42" t="str">
        <f>IF(TournamentData[[#This Row],[Team Number]]="","",IF(ISNA(INDEX('Robot Game Scores'!E:E,MATCH(TournamentData[[#This Row],[Team Number]], 'Robot Game Scores'!$B:$B,0))),0,INDEX('Robot Game Scores'!E:E,MATCH(TournamentData[[#This Row],[Team Number]], 'Robot Game Scores'!$B:$B,0))))</f>
        <v/>
      </c>
      <c r="F11" s="42" t="str">
        <f>IF(TournamentData[[#This Row],[Team Number]]="","",IF(ISNA(INDEX('Robot Game Scores'!F:F,MATCH(TournamentData[[#This Row],[Team Number]], 'Robot Game Scores'!$B:$B,0))),0,INDEX('Robot Game Scores'!F:F,MATCH(TournamentData[[#This Row],[Team Number]], 'Robot Game Scores'!$B:$B,0))))</f>
        <v/>
      </c>
      <c r="G11" s="42" t="str">
        <f>IF(TournamentData[[#This Row],[Team Number]]="","",IF(ISNA(INDEX('Robot Game Scores'!G:G,MATCH(TournamentData[[#This Row],[Team Number]], 'Robot Game Scores'!$B:$B,0))),0,INDEX('Robot Game Scores'!G:G,MATCH(TournamentData[[#This Row],[Team Number]], 'Robot Game Scores'!$B:$B,0))))</f>
        <v/>
      </c>
      <c r="H1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1" s="42" t="str">
        <f>IF(TournamentData[[#This Row],[Team Number]]="","",_xlfn.RANK.EQ(TournamentData[[#This Row],[Max Robot Game Score]],TournamentData[Max Robot Game Score]))</f>
        <v/>
      </c>
      <c r="J1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1" s="43" t="str">
        <f>IF(TournamentData[[#This Row],[Team Number]]="","",IF(M11,RANK(M11,M$3:M$110,1)-COUNTIF(M$3:M$110,0),NumberOfTeams+1))</f>
        <v/>
      </c>
      <c r="O11" s="44">
        <f>IF(ISNA(INDEX(CoreValuesResults[Breakthrough Selection],MATCH(TournamentData[[#This Row],[Team Number]],CoreValuesResults[Team Number],0))),0, INDEX(CoreValuesResults[Breakthrough Selection],MATCH(TournamentData[[#This Row],[Team Number]],CoreValuesResults[Team Number],0)))</f>
        <v>0</v>
      </c>
      <c r="P11" s="44">
        <f>IF(ISNA(INDEX(CoreValuesResults[Rising All-Star Selection],MATCH(TournamentData[[#This Row],[Team Number]],CoreValuesResults[Team Number],0))),0, INDEX(CoreValuesResults[Rising All-Star Selection],MATCH(TournamentData[[#This Row],[Team Number]],CoreValuesResults[Team Number],0)))</f>
        <v>0</v>
      </c>
      <c r="Q11" s="44">
        <f>IF(ISNA(INDEX(CoreValuesResults[Motivate Selection],MATCH(TournamentData[[#This Row],[Team Number]],CoreValuesResults[Team Number],0))),0, INDEX(CoreValuesResults[Motivate Selection],MATCH(TournamentData[[#This Row],[Team Number]],CoreValuesResults[Team Number],0)))</f>
        <v>0</v>
      </c>
      <c r="T11" s="46"/>
      <c r="U11" s="40">
        <f>IF(ISNA(INDEX(CoreValuesResults[Core Values Score],MATCH(TournamentData[[#This Row],[Team Number]],CoreValuesResults[Team Number],0))),0,INDEX(CoreValuesResults[Core Values Score],MATCH(TournamentData[[#This Row],[Team Number]],CoreValuesResults[Team Number],0)))</f>
        <v>0</v>
      </c>
      <c r="V1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1" s="40">
        <f>IF(ISNA(INDEX(RobotDesignResults[Robot Design Score],MATCH(TournamentData[[#This Row],[Team Number]],RobotDesignResults[Team Number],0))),0,INDEX(RobotDesignResults[Robot Design Score],MATCH(TournamentData[[#This Row],[Team Number]],RobotDesignResults[Team Number],0)))</f>
        <v>0</v>
      </c>
      <c r="X1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1" s="48">
        <f t="shared" si="0"/>
        <v>0</v>
      </c>
      <c r="AC11" s="73"/>
      <c r="AD11" s="49"/>
      <c r="AE11" s="46"/>
    </row>
    <row r="12" spans="1:31" s="45" customFormat="1" ht="20.25" customHeight="1" x14ac:dyDescent="0.3">
      <c r="A12" s="40"/>
      <c r="B12" s="41" t="str">
        <f>IF(ISNA(INDEX(OfficialTeamList[Team Name],MATCH(TournamentData[[#This Row],[Team Number]], OfficialTeamList[Team Number],0))),"",INDEX(OfficialTeamList[Team Name],MATCH(TournamentData[[#This Row],[Team Number]], OfficialTeamList[Team Number],0)))</f>
        <v/>
      </c>
      <c r="C12" s="42" t="str">
        <f>IF(TournamentData[[#This Row],[Team Number]]="","",IF(ISNA(INDEX('Robot Game Scores'!C:C,MATCH(TournamentData[[#This Row],[Team Number]], 'Robot Game Scores'!$B:$B,0))),0,INDEX('Robot Game Scores'!C:C,MATCH(TournamentData[[#This Row],[Team Number]], 'Robot Game Scores'!$B:$B,0))))</f>
        <v/>
      </c>
      <c r="D12" s="42" t="str">
        <f>IF(TournamentData[[#This Row],[Team Number]]="","",IF(ISNA(INDEX('Robot Game Scores'!D:D,MATCH(TournamentData[[#This Row],[Team Number]], 'Robot Game Scores'!$B:$B,0))),0,INDEX('Robot Game Scores'!D:D,MATCH(TournamentData[[#This Row],[Team Number]], 'Robot Game Scores'!$B:$B,0))))</f>
        <v/>
      </c>
      <c r="E12" s="42" t="str">
        <f>IF(TournamentData[[#This Row],[Team Number]]="","",IF(ISNA(INDEX('Robot Game Scores'!E:E,MATCH(TournamentData[[#This Row],[Team Number]], 'Robot Game Scores'!$B:$B,0))),0,INDEX('Robot Game Scores'!E:E,MATCH(TournamentData[[#This Row],[Team Number]], 'Robot Game Scores'!$B:$B,0))))</f>
        <v/>
      </c>
      <c r="F12" s="42" t="str">
        <f>IF(TournamentData[[#This Row],[Team Number]]="","",IF(ISNA(INDEX('Robot Game Scores'!F:F,MATCH(TournamentData[[#This Row],[Team Number]], 'Robot Game Scores'!$B:$B,0))),0,INDEX('Robot Game Scores'!F:F,MATCH(TournamentData[[#This Row],[Team Number]], 'Robot Game Scores'!$B:$B,0))))</f>
        <v/>
      </c>
      <c r="G12" s="42" t="str">
        <f>IF(TournamentData[[#This Row],[Team Number]]="","",IF(ISNA(INDEX('Robot Game Scores'!G:G,MATCH(TournamentData[[#This Row],[Team Number]], 'Robot Game Scores'!$B:$B,0))),0,INDEX('Robot Game Scores'!G:G,MATCH(TournamentData[[#This Row],[Team Number]], 'Robot Game Scores'!$B:$B,0))))</f>
        <v/>
      </c>
      <c r="H1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2" s="42" t="str">
        <f>IF(TournamentData[[#This Row],[Team Number]]="","",_xlfn.RANK.EQ(TournamentData[[#This Row],[Max Robot Game Score]],TournamentData[Max Robot Game Score]))</f>
        <v/>
      </c>
      <c r="J1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2" s="43" t="str">
        <f>IF(TournamentData[[#This Row],[Team Number]]="","",IF(M12,RANK(M12,M$3:M$110,1)-COUNTIF(M$3:M$110,0),NumberOfTeams+1))</f>
        <v/>
      </c>
      <c r="O12" s="44">
        <f>IF(ISNA(INDEX(CoreValuesResults[Breakthrough Selection],MATCH(TournamentData[[#This Row],[Team Number]],CoreValuesResults[Team Number],0))),0, INDEX(CoreValuesResults[Breakthrough Selection],MATCH(TournamentData[[#This Row],[Team Number]],CoreValuesResults[Team Number],0)))</f>
        <v>0</v>
      </c>
      <c r="P12" s="44">
        <f>IF(ISNA(INDEX(CoreValuesResults[Rising All-Star Selection],MATCH(TournamentData[[#This Row],[Team Number]],CoreValuesResults[Team Number],0))),0, INDEX(CoreValuesResults[Rising All-Star Selection],MATCH(TournamentData[[#This Row],[Team Number]],CoreValuesResults[Team Number],0)))</f>
        <v>0</v>
      </c>
      <c r="Q12" s="44">
        <f>IF(ISNA(INDEX(CoreValuesResults[Motivate Selection],MATCH(TournamentData[[#This Row],[Team Number]],CoreValuesResults[Team Number],0))),0, INDEX(CoreValuesResults[Motivate Selection],MATCH(TournamentData[[#This Row],[Team Number]],CoreValuesResults[Team Number],0)))</f>
        <v>0</v>
      </c>
      <c r="T12" s="46"/>
      <c r="U12" s="40">
        <f>IF(ISNA(INDEX(CoreValuesResults[Core Values Score],MATCH(TournamentData[[#This Row],[Team Number]],CoreValuesResults[Team Number],0))),0,INDEX(CoreValuesResults[Core Values Score],MATCH(TournamentData[[#This Row],[Team Number]],CoreValuesResults[Team Number],0)))</f>
        <v>0</v>
      </c>
      <c r="V1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2" s="40">
        <f>IF(ISNA(INDEX(RobotDesignResults[Robot Design Score],MATCH(TournamentData[[#This Row],[Team Number]],RobotDesignResults[Team Number],0))),0,INDEX(RobotDesignResults[Robot Design Score],MATCH(TournamentData[[#This Row],[Team Number]],RobotDesignResults[Team Number],0)))</f>
        <v>0</v>
      </c>
      <c r="X1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2" s="48">
        <f t="shared" si="0"/>
        <v>0</v>
      </c>
      <c r="AC12" s="72"/>
      <c r="AD12" s="49"/>
      <c r="AE12" s="46"/>
    </row>
    <row r="13" spans="1:31" s="45" customFormat="1" ht="20.25" customHeight="1" x14ac:dyDescent="0.3">
      <c r="A13" s="40"/>
      <c r="B13" s="41" t="str">
        <f>IF(ISNA(INDEX(OfficialTeamList[Team Name],MATCH(TournamentData[[#This Row],[Team Number]], OfficialTeamList[Team Number],0))),"",INDEX(OfficialTeamList[Team Name],MATCH(TournamentData[[#This Row],[Team Number]], OfficialTeamList[Team Number],0)))</f>
        <v/>
      </c>
      <c r="C13" s="42" t="str">
        <f>IF(TournamentData[[#This Row],[Team Number]]="","",IF(ISNA(INDEX('Robot Game Scores'!C:C,MATCH(TournamentData[[#This Row],[Team Number]], 'Robot Game Scores'!$B:$B,0))),0,INDEX('Robot Game Scores'!C:C,MATCH(TournamentData[[#This Row],[Team Number]], 'Robot Game Scores'!$B:$B,0))))</f>
        <v/>
      </c>
      <c r="D13" s="42" t="str">
        <f>IF(TournamentData[[#This Row],[Team Number]]="","",IF(ISNA(INDEX('Robot Game Scores'!D:D,MATCH(TournamentData[[#This Row],[Team Number]], 'Robot Game Scores'!$B:$B,0))),0,INDEX('Robot Game Scores'!D:D,MATCH(TournamentData[[#This Row],[Team Number]], 'Robot Game Scores'!$B:$B,0))))</f>
        <v/>
      </c>
      <c r="E13" s="42" t="str">
        <f>IF(TournamentData[[#This Row],[Team Number]]="","",IF(ISNA(INDEX('Robot Game Scores'!E:E,MATCH(TournamentData[[#This Row],[Team Number]], 'Robot Game Scores'!$B:$B,0))),0,INDEX('Robot Game Scores'!E:E,MATCH(TournamentData[[#This Row],[Team Number]], 'Robot Game Scores'!$B:$B,0))))</f>
        <v/>
      </c>
      <c r="F13" s="42" t="str">
        <f>IF(TournamentData[[#This Row],[Team Number]]="","",IF(ISNA(INDEX('Robot Game Scores'!F:F,MATCH(TournamentData[[#This Row],[Team Number]], 'Robot Game Scores'!$B:$B,0))),0,INDEX('Robot Game Scores'!F:F,MATCH(TournamentData[[#This Row],[Team Number]], 'Robot Game Scores'!$B:$B,0))))</f>
        <v/>
      </c>
      <c r="G13" s="42" t="str">
        <f>IF(TournamentData[[#This Row],[Team Number]]="","",IF(ISNA(INDEX('Robot Game Scores'!G:G,MATCH(TournamentData[[#This Row],[Team Number]], 'Robot Game Scores'!$B:$B,0))),0,INDEX('Robot Game Scores'!G:G,MATCH(TournamentData[[#This Row],[Team Number]], 'Robot Game Scores'!$B:$B,0))))</f>
        <v/>
      </c>
      <c r="H1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3" s="42" t="str">
        <f>IF(TournamentData[[#This Row],[Team Number]]="","",_xlfn.RANK.EQ(TournamentData[[#This Row],[Max Robot Game Score]],TournamentData[Max Robot Game Score]))</f>
        <v/>
      </c>
      <c r="J1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3" s="43" t="str">
        <f>IF(TournamentData[[#This Row],[Team Number]]="","",IF(M13,RANK(M13,M$3:M$110,1)-COUNTIF(M$3:M$110,0),NumberOfTeams+1))</f>
        <v/>
      </c>
      <c r="O13" s="44">
        <f>IF(ISNA(INDEX(CoreValuesResults[Breakthrough Selection],MATCH(TournamentData[[#This Row],[Team Number]],CoreValuesResults[Team Number],0))),0, INDEX(CoreValuesResults[Breakthrough Selection],MATCH(TournamentData[[#This Row],[Team Number]],CoreValuesResults[Team Number],0)))</f>
        <v>0</v>
      </c>
      <c r="P13" s="44">
        <f>IF(ISNA(INDEX(CoreValuesResults[Rising All-Star Selection],MATCH(TournamentData[[#This Row],[Team Number]],CoreValuesResults[Team Number],0))),0, INDEX(CoreValuesResults[Rising All-Star Selection],MATCH(TournamentData[[#This Row],[Team Number]],CoreValuesResults[Team Number],0)))</f>
        <v>0</v>
      </c>
      <c r="Q13" s="44">
        <f>IF(ISNA(INDEX(CoreValuesResults[Motivate Selection],MATCH(TournamentData[[#This Row],[Team Number]],CoreValuesResults[Team Number],0))),0, INDEX(CoreValuesResults[Motivate Selection],MATCH(TournamentData[[#This Row],[Team Number]],CoreValuesResults[Team Number],0)))</f>
        <v>0</v>
      </c>
      <c r="T13" s="46"/>
      <c r="U13" s="40">
        <f>IF(ISNA(INDEX(CoreValuesResults[Core Values Score],MATCH(TournamentData[[#This Row],[Team Number]],CoreValuesResults[Team Number],0))),0,INDEX(CoreValuesResults[Core Values Score],MATCH(TournamentData[[#This Row],[Team Number]],CoreValuesResults[Team Number],0)))</f>
        <v>0</v>
      </c>
      <c r="V1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3" s="40">
        <f>IF(ISNA(INDEX(RobotDesignResults[Robot Design Score],MATCH(TournamentData[[#This Row],[Team Number]],RobotDesignResults[Team Number],0))),0,INDEX(RobotDesignResults[Robot Design Score],MATCH(TournamentData[[#This Row],[Team Number]],RobotDesignResults[Team Number],0)))</f>
        <v>0</v>
      </c>
      <c r="X1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3" s="48">
        <f t="shared" si="0"/>
        <v>0</v>
      </c>
      <c r="AC13" s="72"/>
      <c r="AD13" s="49"/>
      <c r="AE13" s="46"/>
    </row>
    <row r="14" spans="1:31" s="45" customFormat="1" ht="20.25" customHeight="1" x14ac:dyDescent="0.3">
      <c r="A14" s="40"/>
      <c r="B14" s="41" t="str">
        <f>IF(ISNA(INDEX(OfficialTeamList[Team Name],MATCH(TournamentData[[#This Row],[Team Number]], OfficialTeamList[Team Number],0))),"",INDEX(OfficialTeamList[Team Name],MATCH(TournamentData[[#This Row],[Team Number]], OfficialTeamList[Team Number],0)))</f>
        <v/>
      </c>
      <c r="C14" s="42" t="str">
        <f>IF(TournamentData[[#This Row],[Team Number]]="","",IF(ISNA(INDEX('Robot Game Scores'!C:C,MATCH(TournamentData[[#This Row],[Team Number]], 'Robot Game Scores'!$B:$B,0))),0,INDEX('Robot Game Scores'!C:C,MATCH(TournamentData[[#This Row],[Team Number]], 'Robot Game Scores'!$B:$B,0))))</f>
        <v/>
      </c>
      <c r="D14" s="42" t="str">
        <f>IF(TournamentData[[#This Row],[Team Number]]="","",IF(ISNA(INDEX('Robot Game Scores'!D:D,MATCH(TournamentData[[#This Row],[Team Number]], 'Robot Game Scores'!$B:$B,0))),0,INDEX('Robot Game Scores'!D:D,MATCH(TournamentData[[#This Row],[Team Number]], 'Robot Game Scores'!$B:$B,0))))</f>
        <v/>
      </c>
      <c r="E14" s="42" t="str">
        <f>IF(TournamentData[[#This Row],[Team Number]]="","",IF(ISNA(INDEX('Robot Game Scores'!E:E,MATCH(TournamentData[[#This Row],[Team Number]], 'Robot Game Scores'!$B:$B,0))),0,INDEX('Robot Game Scores'!E:E,MATCH(TournamentData[[#This Row],[Team Number]], 'Robot Game Scores'!$B:$B,0))))</f>
        <v/>
      </c>
      <c r="F14" s="42" t="str">
        <f>IF(TournamentData[[#This Row],[Team Number]]="","",IF(ISNA(INDEX('Robot Game Scores'!F:F,MATCH(TournamentData[[#This Row],[Team Number]], 'Robot Game Scores'!$B:$B,0))),0,INDEX('Robot Game Scores'!F:F,MATCH(TournamentData[[#This Row],[Team Number]], 'Robot Game Scores'!$B:$B,0))))</f>
        <v/>
      </c>
      <c r="G14" s="42" t="str">
        <f>IF(TournamentData[[#This Row],[Team Number]]="","",IF(ISNA(INDEX('Robot Game Scores'!G:G,MATCH(TournamentData[[#This Row],[Team Number]], 'Robot Game Scores'!$B:$B,0))),0,INDEX('Robot Game Scores'!G:G,MATCH(TournamentData[[#This Row],[Team Number]], 'Robot Game Scores'!$B:$B,0))))</f>
        <v/>
      </c>
      <c r="H1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4" s="42" t="str">
        <f>IF(TournamentData[[#This Row],[Team Number]]="","",_xlfn.RANK.EQ(TournamentData[[#This Row],[Max Robot Game Score]],TournamentData[Max Robot Game Score]))</f>
        <v/>
      </c>
      <c r="J1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4" s="43" t="str">
        <f>IF(TournamentData[[#This Row],[Team Number]]="","",IF(M14,RANK(M14,M$3:M$110,1)-COUNTIF(M$3:M$110,0),NumberOfTeams+1))</f>
        <v/>
      </c>
      <c r="O14" s="44">
        <f>IF(ISNA(INDEX(CoreValuesResults[Breakthrough Selection],MATCH(TournamentData[[#This Row],[Team Number]],CoreValuesResults[Team Number],0))),0, INDEX(CoreValuesResults[Breakthrough Selection],MATCH(TournamentData[[#This Row],[Team Number]],CoreValuesResults[Team Number],0)))</f>
        <v>0</v>
      </c>
      <c r="P14" s="44">
        <f>IF(ISNA(INDEX(CoreValuesResults[Rising All-Star Selection],MATCH(TournamentData[[#This Row],[Team Number]],CoreValuesResults[Team Number],0))),0, INDEX(CoreValuesResults[Rising All-Star Selection],MATCH(TournamentData[[#This Row],[Team Number]],CoreValuesResults[Team Number],0)))</f>
        <v>0</v>
      </c>
      <c r="Q14" s="44">
        <f>IF(ISNA(INDEX(CoreValuesResults[Motivate Selection],MATCH(TournamentData[[#This Row],[Team Number]],CoreValuesResults[Team Number],0))),0, INDEX(CoreValuesResults[Motivate Selection],MATCH(TournamentData[[#This Row],[Team Number]],CoreValuesResults[Team Number],0)))</f>
        <v>0</v>
      </c>
      <c r="T14" s="46"/>
      <c r="U14" s="40">
        <f>IF(ISNA(INDEX(CoreValuesResults[Core Values Score],MATCH(TournamentData[[#This Row],[Team Number]],CoreValuesResults[Team Number],0))),0,INDEX(CoreValuesResults[Core Values Score],MATCH(TournamentData[[#This Row],[Team Number]],CoreValuesResults[Team Number],0)))</f>
        <v>0</v>
      </c>
      <c r="V1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4" s="40">
        <f>IF(ISNA(INDEX(RobotDesignResults[Robot Design Score],MATCH(TournamentData[[#This Row],[Team Number]],RobotDesignResults[Team Number],0))),0,INDEX(RobotDesignResults[Robot Design Score],MATCH(TournamentData[[#This Row],[Team Number]],RobotDesignResults[Team Number],0)))</f>
        <v>0</v>
      </c>
      <c r="X1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4" s="48">
        <f t="shared" si="0"/>
        <v>0</v>
      </c>
      <c r="AC14" s="72"/>
      <c r="AD14" s="49"/>
      <c r="AE14" s="46"/>
    </row>
    <row r="15" spans="1:31" s="45" customFormat="1" ht="20.25" customHeight="1" x14ac:dyDescent="0.3">
      <c r="A15" s="40"/>
      <c r="B15" s="41" t="str">
        <f>IF(ISNA(INDEX(OfficialTeamList[Team Name],MATCH(TournamentData[[#This Row],[Team Number]], OfficialTeamList[Team Number],0))),"",INDEX(OfficialTeamList[Team Name],MATCH(TournamentData[[#This Row],[Team Number]], OfficialTeamList[Team Number],0)))</f>
        <v/>
      </c>
      <c r="C15" s="42" t="str">
        <f>IF(TournamentData[[#This Row],[Team Number]]="","",IF(ISNA(INDEX('Robot Game Scores'!C:C,MATCH(TournamentData[[#This Row],[Team Number]], 'Robot Game Scores'!$B:$B,0))),0,INDEX('Robot Game Scores'!C:C,MATCH(TournamentData[[#This Row],[Team Number]], 'Robot Game Scores'!$B:$B,0))))</f>
        <v/>
      </c>
      <c r="D15" s="42" t="str">
        <f>IF(TournamentData[[#This Row],[Team Number]]="","",IF(ISNA(INDEX('Robot Game Scores'!D:D,MATCH(TournamentData[[#This Row],[Team Number]], 'Robot Game Scores'!$B:$B,0))),0,INDEX('Robot Game Scores'!D:D,MATCH(TournamentData[[#This Row],[Team Number]], 'Robot Game Scores'!$B:$B,0))))</f>
        <v/>
      </c>
      <c r="E15" s="42" t="str">
        <f>IF(TournamentData[[#This Row],[Team Number]]="","",IF(ISNA(INDEX('Robot Game Scores'!E:E,MATCH(TournamentData[[#This Row],[Team Number]], 'Robot Game Scores'!$B:$B,0))),0,INDEX('Robot Game Scores'!E:E,MATCH(TournamentData[[#This Row],[Team Number]], 'Robot Game Scores'!$B:$B,0))))</f>
        <v/>
      </c>
      <c r="F15" s="42" t="str">
        <f>IF(TournamentData[[#This Row],[Team Number]]="","",IF(ISNA(INDEX('Robot Game Scores'!F:F,MATCH(TournamentData[[#This Row],[Team Number]], 'Robot Game Scores'!$B:$B,0))),0,INDEX('Robot Game Scores'!F:F,MATCH(TournamentData[[#This Row],[Team Number]], 'Robot Game Scores'!$B:$B,0))))</f>
        <v/>
      </c>
      <c r="G15" s="42" t="str">
        <f>IF(TournamentData[[#This Row],[Team Number]]="","",IF(ISNA(INDEX('Robot Game Scores'!G:G,MATCH(TournamentData[[#This Row],[Team Number]], 'Robot Game Scores'!$B:$B,0))),0,INDEX('Robot Game Scores'!G:G,MATCH(TournamentData[[#This Row],[Team Number]], 'Robot Game Scores'!$B:$B,0))))</f>
        <v/>
      </c>
      <c r="H1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5" s="42" t="str">
        <f>IF(TournamentData[[#This Row],[Team Number]]="","",_xlfn.RANK.EQ(TournamentData[[#This Row],[Max Robot Game Score]],TournamentData[Max Robot Game Score]))</f>
        <v/>
      </c>
      <c r="J1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5" s="43" t="str">
        <f>IF(TournamentData[[#This Row],[Team Number]]="","",IF(M15,RANK(M15,M$3:M$110,1)-COUNTIF(M$3:M$110,0),NumberOfTeams+1))</f>
        <v/>
      </c>
      <c r="O15" s="50">
        <f>IF(ISNA(INDEX(CoreValuesResults[Breakthrough Selection],MATCH(TournamentData[[#This Row],[Team Number]],CoreValuesResults[Team Number],0))),0, INDEX(CoreValuesResults[Breakthrough Selection],MATCH(TournamentData[[#This Row],[Team Number]],CoreValuesResults[Team Number],0)))</f>
        <v>0</v>
      </c>
      <c r="P15" s="50">
        <f>IF(ISNA(INDEX(CoreValuesResults[Rising All-Star Selection],MATCH(TournamentData[[#This Row],[Team Number]],CoreValuesResults[Team Number],0))),0, INDEX(CoreValuesResults[Rising All-Star Selection],MATCH(TournamentData[[#This Row],[Team Number]],CoreValuesResults[Team Number],0)))</f>
        <v>0</v>
      </c>
      <c r="Q15" s="50">
        <f>IF(ISNA(INDEX(CoreValuesResults[Motivate Selection],MATCH(TournamentData[[#This Row],[Team Number]],CoreValuesResults[Team Number],0))),0, INDEX(CoreValuesResults[Motivate Selection],MATCH(TournamentData[[#This Row],[Team Number]],CoreValuesResults[Team Number],0)))</f>
        <v>0</v>
      </c>
      <c r="T15" s="46"/>
      <c r="U15" s="40">
        <f>IF(ISNA(INDEX(CoreValuesResults[Core Values Score],MATCH(TournamentData[[#This Row],[Team Number]],CoreValuesResults[Team Number],0))),0,INDEX(CoreValuesResults[Core Values Score],MATCH(TournamentData[[#This Row],[Team Number]],CoreValuesResults[Team Number],0)))</f>
        <v>0</v>
      </c>
      <c r="V1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5" s="40">
        <f>IF(ISNA(INDEX(RobotDesignResults[Robot Design Score],MATCH(TournamentData[[#This Row],[Team Number]],RobotDesignResults[Team Number],0))),0,INDEX(RobotDesignResults[Robot Design Score],MATCH(TournamentData[[#This Row],[Team Number]],RobotDesignResults[Team Number],0)))</f>
        <v>0</v>
      </c>
      <c r="X1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5" s="48">
        <f t="shared" si="0"/>
        <v>0</v>
      </c>
      <c r="AC15" s="72"/>
      <c r="AD15" s="49"/>
      <c r="AE15" s="46"/>
    </row>
    <row r="16" spans="1:31" s="45" customFormat="1" ht="20.25" customHeight="1" x14ac:dyDescent="0.3">
      <c r="A16" s="40"/>
      <c r="B16" s="41" t="str">
        <f>IF(ISNA(INDEX(OfficialTeamList[Team Name],MATCH(TournamentData[[#This Row],[Team Number]], OfficialTeamList[Team Number],0))),"",INDEX(OfficialTeamList[Team Name],MATCH(TournamentData[[#This Row],[Team Number]], OfficialTeamList[Team Number],0)))</f>
        <v/>
      </c>
      <c r="C16" s="42" t="str">
        <f>IF(TournamentData[[#This Row],[Team Number]]="","",IF(ISNA(INDEX('Robot Game Scores'!C:C,MATCH(TournamentData[[#This Row],[Team Number]], 'Robot Game Scores'!$B:$B,0))),0,INDEX('Robot Game Scores'!C:C,MATCH(TournamentData[[#This Row],[Team Number]], 'Robot Game Scores'!$B:$B,0))))</f>
        <v/>
      </c>
      <c r="D16" s="42" t="str">
        <f>IF(TournamentData[[#This Row],[Team Number]]="","",IF(ISNA(INDEX('Robot Game Scores'!D:D,MATCH(TournamentData[[#This Row],[Team Number]], 'Robot Game Scores'!$B:$B,0))),0,INDEX('Robot Game Scores'!D:D,MATCH(TournamentData[[#This Row],[Team Number]], 'Robot Game Scores'!$B:$B,0))))</f>
        <v/>
      </c>
      <c r="E16" s="42" t="str">
        <f>IF(TournamentData[[#This Row],[Team Number]]="","",IF(ISNA(INDEX('Robot Game Scores'!E:E,MATCH(TournamentData[[#This Row],[Team Number]], 'Robot Game Scores'!$B:$B,0))),0,INDEX('Robot Game Scores'!E:E,MATCH(TournamentData[[#This Row],[Team Number]], 'Robot Game Scores'!$B:$B,0))))</f>
        <v/>
      </c>
      <c r="F16" s="42" t="str">
        <f>IF(TournamentData[[#This Row],[Team Number]]="","",IF(ISNA(INDEX('Robot Game Scores'!F:F,MATCH(TournamentData[[#This Row],[Team Number]], 'Robot Game Scores'!$B:$B,0))),0,INDEX('Robot Game Scores'!F:F,MATCH(TournamentData[[#This Row],[Team Number]], 'Robot Game Scores'!$B:$B,0))))</f>
        <v/>
      </c>
      <c r="G16" s="42" t="str">
        <f>IF(TournamentData[[#This Row],[Team Number]]="","",IF(ISNA(INDEX('Robot Game Scores'!G:G,MATCH(TournamentData[[#This Row],[Team Number]], 'Robot Game Scores'!$B:$B,0))),0,INDEX('Robot Game Scores'!G:G,MATCH(TournamentData[[#This Row],[Team Number]], 'Robot Game Scores'!$B:$B,0))))</f>
        <v/>
      </c>
      <c r="H1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6" s="42" t="str">
        <f>IF(TournamentData[[#This Row],[Team Number]]="","",_xlfn.RANK.EQ(TournamentData[[#This Row],[Max Robot Game Score]],TournamentData[Max Robot Game Score]))</f>
        <v/>
      </c>
      <c r="J1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6" s="43" t="str">
        <f>IF(TournamentData[[#This Row],[Team Number]]="","",IF(M16,RANK(M16,M$3:M$110,1)-COUNTIF(M$3:M$110,0),NumberOfTeams+1))</f>
        <v/>
      </c>
      <c r="O16" s="50">
        <f>IF(ISNA(INDEX(CoreValuesResults[Breakthrough Selection],MATCH(TournamentData[[#This Row],[Team Number]],CoreValuesResults[Team Number],0))),0, INDEX(CoreValuesResults[Breakthrough Selection],MATCH(TournamentData[[#This Row],[Team Number]],CoreValuesResults[Team Number],0)))</f>
        <v>0</v>
      </c>
      <c r="P16" s="50">
        <f>IF(ISNA(INDEX(CoreValuesResults[Rising All-Star Selection],MATCH(TournamentData[[#This Row],[Team Number]],CoreValuesResults[Team Number],0))),0, INDEX(CoreValuesResults[Rising All-Star Selection],MATCH(TournamentData[[#This Row],[Team Number]],CoreValuesResults[Team Number],0)))</f>
        <v>0</v>
      </c>
      <c r="Q16" s="50">
        <f>IF(ISNA(INDEX(CoreValuesResults[Motivate Selection],MATCH(TournamentData[[#This Row],[Team Number]],CoreValuesResults[Team Number],0))),0, INDEX(CoreValuesResults[Motivate Selection],MATCH(TournamentData[[#This Row],[Team Number]],CoreValuesResults[Team Number],0)))</f>
        <v>0</v>
      </c>
      <c r="T16" s="46"/>
      <c r="U16" s="40">
        <f>IF(ISNA(INDEX(CoreValuesResults[Core Values Score],MATCH(TournamentData[[#This Row],[Team Number]],CoreValuesResults[Team Number],0))),0,INDEX(CoreValuesResults[Core Values Score],MATCH(TournamentData[[#This Row],[Team Number]],CoreValuesResults[Team Number],0)))</f>
        <v>0</v>
      </c>
      <c r="V1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6" s="40">
        <f>IF(ISNA(INDEX(RobotDesignResults[Robot Design Score],MATCH(TournamentData[[#This Row],[Team Number]],RobotDesignResults[Team Number],0))),0,INDEX(RobotDesignResults[Robot Design Score],MATCH(TournamentData[[#This Row],[Team Number]],RobotDesignResults[Team Number],0)))</f>
        <v>0</v>
      </c>
      <c r="X1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6" s="48">
        <f t="shared" si="0"/>
        <v>0</v>
      </c>
      <c r="AC16" s="72"/>
      <c r="AD16" s="49"/>
      <c r="AE16" s="46"/>
    </row>
    <row r="17" spans="1:31" s="45" customFormat="1" ht="20.25" customHeight="1" x14ac:dyDescent="0.3">
      <c r="A17" s="40"/>
      <c r="B17" s="41" t="str">
        <f>IF(ISNA(INDEX(OfficialTeamList[Team Name],MATCH(TournamentData[[#This Row],[Team Number]], OfficialTeamList[Team Number],0))),"",INDEX(OfficialTeamList[Team Name],MATCH(TournamentData[[#This Row],[Team Number]], OfficialTeamList[Team Number],0)))</f>
        <v/>
      </c>
      <c r="C17" s="42" t="str">
        <f>IF(TournamentData[[#This Row],[Team Number]]="","",IF(ISNA(INDEX('Robot Game Scores'!C:C,MATCH(TournamentData[[#This Row],[Team Number]], 'Robot Game Scores'!$B:$B,0))),0,INDEX('Robot Game Scores'!C:C,MATCH(TournamentData[[#This Row],[Team Number]], 'Robot Game Scores'!$B:$B,0))))</f>
        <v/>
      </c>
      <c r="D17" s="42" t="str">
        <f>IF(TournamentData[[#This Row],[Team Number]]="","",IF(ISNA(INDEX('Robot Game Scores'!D:D,MATCH(TournamentData[[#This Row],[Team Number]], 'Robot Game Scores'!$B:$B,0))),0,INDEX('Robot Game Scores'!D:D,MATCH(TournamentData[[#This Row],[Team Number]], 'Robot Game Scores'!$B:$B,0))))</f>
        <v/>
      </c>
      <c r="E17" s="42" t="str">
        <f>IF(TournamentData[[#This Row],[Team Number]]="","",IF(ISNA(INDEX('Robot Game Scores'!E:E,MATCH(TournamentData[[#This Row],[Team Number]], 'Robot Game Scores'!$B:$B,0))),0,INDEX('Robot Game Scores'!E:E,MATCH(TournamentData[[#This Row],[Team Number]], 'Robot Game Scores'!$B:$B,0))))</f>
        <v/>
      </c>
      <c r="F17" s="42" t="str">
        <f>IF(TournamentData[[#This Row],[Team Number]]="","",IF(ISNA(INDEX('Robot Game Scores'!F:F,MATCH(TournamentData[[#This Row],[Team Number]], 'Robot Game Scores'!$B:$B,0))),0,INDEX('Robot Game Scores'!F:F,MATCH(TournamentData[[#This Row],[Team Number]], 'Robot Game Scores'!$B:$B,0))))</f>
        <v/>
      </c>
      <c r="G17" s="42" t="str">
        <f>IF(TournamentData[[#This Row],[Team Number]]="","",IF(ISNA(INDEX('Robot Game Scores'!G:G,MATCH(TournamentData[[#This Row],[Team Number]], 'Robot Game Scores'!$B:$B,0))),0,INDEX('Robot Game Scores'!G:G,MATCH(TournamentData[[#This Row],[Team Number]], 'Robot Game Scores'!$B:$B,0))))</f>
        <v/>
      </c>
      <c r="H1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7" s="42" t="str">
        <f>IF(TournamentData[[#This Row],[Team Number]]="","",_xlfn.RANK.EQ(TournamentData[[#This Row],[Max Robot Game Score]],TournamentData[Max Robot Game Score]))</f>
        <v/>
      </c>
      <c r="J1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7" s="43" t="str">
        <f>IF(TournamentData[[#This Row],[Team Number]]="","",IF(M17,RANK(M17,M$3:M$110,1)-COUNTIF(M$3:M$110,0),NumberOfTeams+1))</f>
        <v/>
      </c>
      <c r="O17" s="44">
        <f>IF(ISNA(INDEX(CoreValuesResults[Breakthrough Selection],MATCH(TournamentData[[#This Row],[Team Number]],CoreValuesResults[Team Number],0))),0, INDEX(CoreValuesResults[Breakthrough Selection],MATCH(TournamentData[[#This Row],[Team Number]],CoreValuesResults[Team Number],0)))</f>
        <v>0</v>
      </c>
      <c r="P17" s="44">
        <f>IF(ISNA(INDEX(CoreValuesResults[Rising All-Star Selection],MATCH(TournamentData[[#This Row],[Team Number]],CoreValuesResults[Team Number],0))),0, INDEX(CoreValuesResults[Rising All-Star Selection],MATCH(TournamentData[[#This Row],[Team Number]],CoreValuesResults[Team Number],0)))</f>
        <v>0</v>
      </c>
      <c r="Q17" s="44">
        <f>IF(ISNA(INDEX(CoreValuesResults[Motivate Selection],MATCH(TournamentData[[#This Row],[Team Number]],CoreValuesResults[Team Number],0))),0, INDEX(CoreValuesResults[Motivate Selection],MATCH(TournamentData[[#This Row],[Team Number]],CoreValuesResults[Team Number],0)))</f>
        <v>0</v>
      </c>
      <c r="T17" s="46"/>
      <c r="U17" s="40">
        <f>IF(ISNA(INDEX(CoreValuesResults[Core Values Score],MATCH(TournamentData[[#This Row],[Team Number]],CoreValuesResults[Team Number],0))),0,INDEX(CoreValuesResults[Core Values Score],MATCH(TournamentData[[#This Row],[Team Number]],CoreValuesResults[Team Number],0)))</f>
        <v>0</v>
      </c>
      <c r="V1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7" s="40">
        <f>IF(ISNA(INDEX(RobotDesignResults[Robot Design Score],MATCH(TournamentData[[#This Row],[Team Number]],RobotDesignResults[Team Number],0))),0,INDEX(RobotDesignResults[Robot Design Score],MATCH(TournamentData[[#This Row],[Team Number]],RobotDesignResults[Team Number],0)))</f>
        <v>0</v>
      </c>
      <c r="X1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7" s="48">
        <f t="shared" si="0"/>
        <v>0</v>
      </c>
      <c r="AC17" s="72"/>
      <c r="AD17" s="49"/>
      <c r="AE17" s="46"/>
    </row>
    <row r="18" spans="1:31" s="45" customFormat="1" ht="20.25" customHeight="1" x14ac:dyDescent="0.3">
      <c r="A18" s="40"/>
      <c r="B18" s="41" t="str">
        <f>IF(ISNA(INDEX(OfficialTeamList[Team Name],MATCH(TournamentData[[#This Row],[Team Number]], OfficialTeamList[Team Number],0))),"",INDEX(OfficialTeamList[Team Name],MATCH(TournamentData[[#This Row],[Team Number]], OfficialTeamList[Team Number],0)))</f>
        <v/>
      </c>
      <c r="C18" s="42" t="str">
        <f>IF(TournamentData[[#This Row],[Team Number]]="","",IF(ISNA(INDEX('Robot Game Scores'!C:C,MATCH(TournamentData[[#This Row],[Team Number]], 'Robot Game Scores'!$B:$B,0))),0,INDEX('Robot Game Scores'!C:C,MATCH(TournamentData[[#This Row],[Team Number]], 'Robot Game Scores'!$B:$B,0))))</f>
        <v/>
      </c>
      <c r="D18" s="42" t="str">
        <f>IF(TournamentData[[#This Row],[Team Number]]="","",IF(ISNA(INDEX('Robot Game Scores'!D:D,MATCH(TournamentData[[#This Row],[Team Number]], 'Robot Game Scores'!$B:$B,0))),0,INDEX('Robot Game Scores'!D:D,MATCH(TournamentData[[#This Row],[Team Number]], 'Robot Game Scores'!$B:$B,0))))</f>
        <v/>
      </c>
      <c r="E18" s="42" t="str">
        <f>IF(TournamentData[[#This Row],[Team Number]]="","",IF(ISNA(INDEX('Robot Game Scores'!E:E,MATCH(TournamentData[[#This Row],[Team Number]], 'Robot Game Scores'!$B:$B,0))),0,INDEX('Robot Game Scores'!E:E,MATCH(TournamentData[[#This Row],[Team Number]], 'Robot Game Scores'!$B:$B,0))))</f>
        <v/>
      </c>
      <c r="F18" s="42" t="str">
        <f>IF(TournamentData[[#This Row],[Team Number]]="","",IF(ISNA(INDEX('Robot Game Scores'!F:F,MATCH(TournamentData[[#This Row],[Team Number]], 'Robot Game Scores'!$B:$B,0))),0,INDEX('Robot Game Scores'!F:F,MATCH(TournamentData[[#This Row],[Team Number]], 'Robot Game Scores'!$B:$B,0))))</f>
        <v/>
      </c>
      <c r="G18" s="42" t="str">
        <f>IF(TournamentData[[#This Row],[Team Number]]="","",IF(ISNA(INDEX('Robot Game Scores'!G:G,MATCH(TournamentData[[#This Row],[Team Number]], 'Robot Game Scores'!$B:$B,0))),0,INDEX('Robot Game Scores'!G:G,MATCH(TournamentData[[#This Row],[Team Number]], 'Robot Game Scores'!$B:$B,0))))</f>
        <v/>
      </c>
      <c r="H1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8" s="42" t="str">
        <f>IF(TournamentData[[#This Row],[Team Number]]="","",_xlfn.RANK.EQ(TournamentData[[#This Row],[Max Robot Game Score]],TournamentData[Max Robot Game Score]))</f>
        <v/>
      </c>
      <c r="J1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8" s="43" t="str">
        <f>IF(TournamentData[[#This Row],[Team Number]]="","",IF(M18,RANK(M18,M$3:M$110,1)-COUNTIF(M$3:M$110,0),NumberOfTeams+1))</f>
        <v/>
      </c>
      <c r="O18" s="44">
        <f>IF(ISNA(INDEX(CoreValuesResults[Breakthrough Selection],MATCH(TournamentData[[#This Row],[Team Number]],CoreValuesResults[Team Number],0))),0, INDEX(CoreValuesResults[Breakthrough Selection],MATCH(TournamentData[[#This Row],[Team Number]],CoreValuesResults[Team Number],0)))</f>
        <v>0</v>
      </c>
      <c r="P18" s="44">
        <f>IF(ISNA(INDEX(CoreValuesResults[Rising All-Star Selection],MATCH(TournamentData[[#This Row],[Team Number]],CoreValuesResults[Team Number],0))),0, INDEX(CoreValuesResults[Rising All-Star Selection],MATCH(TournamentData[[#This Row],[Team Number]],CoreValuesResults[Team Number],0)))</f>
        <v>0</v>
      </c>
      <c r="Q18" s="44">
        <f>IF(ISNA(INDEX(CoreValuesResults[Motivate Selection],MATCH(TournamentData[[#This Row],[Team Number]],CoreValuesResults[Team Number],0))),0, INDEX(CoreValuesResults[Motivate Selection],MATCH(TournamentData[[#This Row],[Team Number]],CoreValuesResults[Team Number],0)))</f>
        <v>0</v>
      </c>
      <c r="T18" s="46"/>
      <c r="U18" s="40">
        <f>IF(ISNA(INDEX(CoreValuesResults[Core Values Score],MATCH(TournamentData[[#This Row],[Team Number]],CoreValuesResults[Team Number],0))),0,INDEX(CoreValuesResults[Core Values Score],MATCH(TournamentData[[#This Row],[Team Number]],CoreValuesResults[Team Number],0)))</f>
        <v>0</v>
      </c>
      <c r="V1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8" s="40">
        <f>IF(ISNA(INDEX(RobotDesignResults[Robot Design Score],MATCH(TournamentData[[#This Row],[Team Number]],RobotDesignResults[Team Number],0))),0,INDEX(RobotDesignResults[Robot Design Score],MATCH(TournamentData[[#This Row],[Team Number]],RobotDesignResults[Team Number],0)))</f>
        <v>0</v>
      </c>
      <c r="X1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8" s="48">
        <f t="shared" si="0"/>
        <v>0</v>
      </c>
      <c r="AC18" s="72"/>
      <c r="AD18" s="49"/>
      <c r="AE18" s="46"/>
    </row>
    <row r="19" spans="1:31" s="45" customFormat="1" ht="20.25" customHeight="1" x14ac:dyDescent="0.3">
      <c r="A19" s="40"/>
      <c r="B19" s="41" t="str">
        <f>IF(ISNA(INDEX(OfficialTeamList[Team Name],MATCH(TournamentData[[#This Row],[Team Number]], OfficialTeamList[Team Number],0))),"",INDEX(OfficialTeamList[Team Name],MATCH(TournamentData[[#This Row],[Team Number]], OfficialTeamList[Team Number],0)))</f>
        <v/>
      </c>
      <c r="C19" s="42" t="str">
        <f>IF(TournamentData[[#This Row],[Team Number]]="","",IF(ISNA(INDEX('Robot Game Scores'!C:C,MATCH(TournamentData[[#This Row],[Team Number]], 'Robot Game Scores'!$B:$B,0))),0,INDEX('Robot Game Scores'!C:C,MATCH(TournamentData[[#This Row],[Team Number]], 'Robot Game Scores'!$B:$B,0))))</f>
        <v/>
      </c>
      <c r="D19" s="42" t="str">
        <f>IF(TournamentData[[#This Row],[Team Number]]="","",IF(ISNA(INDEX('Robot Game Scores'!D:D,MATCH(TournamentData[[#This Row],[Team Number]], 'Robot Game Scores'!$B:$B,0))),0,INDEX('Robot Game Scores'!D:D,MATCH(TournamentData[[#This Row],[Team Number]], 'Robot Game Scores'!$B:$B,0))))</f>
        <v/>
      </c>
      <c r="E19" s="42" t="str">
        <f>IF(TournamentData[[#This Row],[Team Number]]="","",IF(ISNA(INDEX('Robot Game Scores'!E:E,MATCH(TournamentData[[#This Row],[Team Number]], 'Robot Game Scores'!$B:$B,0))),0,INDEX('Robot Game Scores'!E:E,MATCH(TournamentData[[#This Row],[Team Number]], 'Robot Game Scores'!$B:$B,0))))</f>
        <v/>
      </c>
      <c r="F19" s="42" t="str">
        <f>IF(TournamentData[[#This Row],[Team Number]]="","",IF(ISNA(INDEX('Robot Game Scores'!F:F,MATCH(TournamentData[[#This Row],[Team Number]], 'Robot Game Scores'!$B:$B,0))),0,INDEX('Robot Game Scores'!F:F,MATCH(TournamentData[[#This Row],[Team Number]], 'Robot Game Scores'!$B:$B,0))))</f>
        <v/>
      </c>
      <c r="G19" s="42" t="str">
        <f>IF(TournamentData[[#This Row],[Team Number]]="","",IF(ISNA(INDEX('Robot Game Scores'!G:G,MATCH(TournamentData[[#This Row],[Team Number]], 'Robot Game Scores'!$B:$B,0))),0,INDEX('Robot Game Scores'!G:G,MATCH(TournamentData[[#This Row],[Team Number]], 'Robot Game Scores'!$B:$B,0))))</f>
        <v/>
      </c>
      <c r="H1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9" s="42" t="str">
        <f>IF(TournamentData[[#This Row],[Team Number]]="","",_xlfn.RANK.EQ(TournamentData[[#This Row],[Max Robot Game Score]],TournamentData[Max Robot Game Score]))</f>
        <v/>
      </c>
      <c r="J1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9" s="43" t="str">
        <f>IF(TournamentData[[#This Row],[Team Number]]="","",IF(M19,RANK(M19,M$3:M$110,1)-COUNTIF(M$3:M$110,0),NumberOfTeams+1))</f>
        <v/>
      </c>
      <c r="O19" s="44">
        <f>IF(ISNA(INDEX(CoreValuesResults[Breakthrough Selection],MATCH(TournamentData[[#This Row],[Team Number]],CoreValuesResults[Team Number],0))),0, INDEX(CoreValuesResults[Breakthrough Selection],MATCH(TournamentData[[#This Row],[Team Number]],CoreValuesResults[Team Number],0)))</f>
        <v>0</v>
      </c>
      <c r="P19" s="44">
        <f>IF(ISNA(INDEX(CoreValuesResults[Rising All-Star Selection],MATCH(TournamentData[[#This Row],[Team Number]],CoreValuesResults[Team Number],0))),0, INDEX(CoreValuesResults[Rising All-Star Selection],MATCH(TournamentData[[#This Row],[Team Number]],CoreValuesResults[Team Number],0)))</f>
        <v>0</v>
      </c>
      <c r="Q19" s="44">
        <f>IF(ISNA(INDEX(CoreValuesResults[Motivate Selection],MATCH(TournamentData[[#This Row],[Team Number]],CoreValuesResults[Team Number],0))),0, INDEX(CoreValuesResults[Motivate Selection],MATCH(TournamentData[[#This Row],[Team Number]],CoreValuesResults[Team Number],0)))</f>
        <v>0</v>
      </c>
      <c r="T19" s="46"/>
      <c r="U19" s="40">
        <f>IF(ISNA(INDEX(CoreValuesResults[Core Values Score],MATCH(TournamentData[[#This Row],[Team Number]],CoreValuesResults[Team Number],0))),0,INDEX(CoreValuesResults[Core Values Score],MATCH(TournamentData[[#This Row],[Team Number]],CoreValuesResults[Team Number],0)))</f>
        <v>0</v>
      </c>
      <c r="V1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9" s="40">
        <f>IF(ISNA(INDEX(RobotDesignResults[Robot Design Score],MATCH(TournamentData[[#This Row],[Team Number]],RobotDesignResults[Team Number],0))),0,INDEX(RobotDesignResults[Robot Design Score],MATCH(TournamentData[[#This Row],[Team Number]],RobotDesignResults[Team Number],0)))</f>
        <v>0</v>
      </c>
      <c r="X1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9" s="48">
        <f t="shared" si="0"/>
        <v>0</v>
      </c>
      <c r="AC19" s="72"/>
      <c r="AD19" s="49"/>
      <c r="AE19" s="46"/>
    </row>
    <row r="20" spans="1:31" s="45" customFormat="1" ht="20.25" customHeight="1" x14ac:dyDescent="0.3">
      <c r="A20" s="40"/>
      <c r="B20" s="41" t="str">
        <f>IF(ISNA(INDEX(OfficialTeamList[Team Name],MATCH(TournamentData[[#This Row],[Team Number]], OfficialTeamList[Team Number],0))),"",INDEX(OfficialTeamList[Team Name],MATCH(TournamentData[[#This Row],[Team Number]], OfficialTeamList[Team Number],0)))</f>
        <v/>
      </c>
      <c r="C20" s="42" t="str">
        <f>IF(TournamentData[[#This Row],[Team Number]]="","",IF(ISNA(INDEX('Robot Game Scores'!C:C,MATCH(TournamentData[[#This Row],[Team Number]], 'Robot Game Scores'!$B:$B,0))),0,INDEX('Robot Game Scores'!C:C,MATCH(TournamentData[[#This Row],[Team Number]], 'Robot Game Scores'!$B:$B,0))))</f>
        <v/>
      </c>
      <c r="D20" s="42" t="str">
        <f>IF(TournamentData[[#This Row],[Team Number]]="","",IF(ISNA(INDEX('Robot Game Scores'!D:D,MATCH(TournamentData[[#This Row],[Team Number]], 'Robot Game Scores'!$B:$B,0))),0,INDEX('Robot Game Scores'!D:D,MATCH(TournamentData[[#This Row],[Team Number]], 'Robot Game Scores'!$B:$B,0))))</f>
        <v/>
      </c>
      <c r="E20" s="42" t="str">
        <f>IF(TournamentData[[#This Row],[Team Number]]="","",IF(ISNA(INDEX('Robot Game Scores'!E:E,MATCH(TournamentData[[#This Row],[Team Number]], 'Robot Game Scores'!$B:$B,0))),0,INDEX('Robot Game Scores'!E:E,MATCH(TournamentData[[#This Row],[Team Number]], 'Robot Game Scores'!$B:$B,0))))</f>
        <v/>
      </c>
      <c r="F20" s="42" t="str">
        <f>IF(TournamentData[[#This Row],[Team Number]]="","",IF(ISNA(INDEX('Robot Game Scores'!F:F,MATCH(TournamentData[[#This Row],[Team Number]], 'Robot Game Scores'!$B:$B,0))),0,INDEX('Robot Game Scores'!F:F,MATCH(TournamentData[[#This Row],[Team Number]], 'Robot Game Scores'!$B:$B,0))))</f>
        <v/>
      </c>
      <c r="G20" s="42" t="str">
        <f>IF(TournamentData[[#This Row],[Team Number]]="","",IF(ISNA(INDEX('Robot Game Scores'!G:G,MATCH(TournamentData[[#This Row],[Team Number]], 'Robot Game Scores'!$B:$B,0))),0,INDEX('Robot Game Scores'!G:G,MATCH(TournamentData[[#This Row],[Team Number]], 'Robot Game Scores'!$B:$B,0))))</f>
        <v/>
      </c>
      <c r="H2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0" s="42" t="str">
        <f>IF(TournamentData[[#This Row],[Team Number]]="","",_xlfn.RANK.EQ(TournamentData[[#This Row],[Max Robot Game Score]],TournamentData[Max Robot Game Score]))</f>
        <v/>
      </c>
      <c r="J2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0" s="43" t="str">
        <f>IF(TournamentData[[#This Row],[Team Number]]="","",IF(M20,RANK(M20,M$3:M$110,1)-COUNTIF(M$3:M$110,0),NumberOfTeams+1))</f>
        <v/>
      </c>
      <c r="O20" s="44">
        <f>IF(ISNA(INDEX(CoreValuesResults[Breakthrough Selection],MATCH(TournamentData[[#This Row],[Team Number]],CoreValuesResults[Team Number],0))),0, INDEX(CoreValuesResults[Breakthrough Selection],MATCH(TournamentData[[#This Row],[Team Number]],CoreValuesResults[Team Number],0)))</f>
        <v>0</v>
      </c>
      <c r="P20" s="44">
        <f>IF(ISNA(INDEX(CoreValuesResults[Rising All-Star Selection],MATCH(TournamentData[[#This Row],[Team Number]],CoreValuesResults[Team Number],0))),0, INDEX(CoreValuesResults[Rising All-Star Selection],MATCH(TournamentData[[#This Row],[Team Number]],CoreValuesResults[Team Number],0)))</f>
        <v>0</v>
      </c>
      <c r="Q20" s="44">
        <f>IF(ISNA(INDEX(CoreValuesResults[Motivate Selection],MATCH(TournamentData[[#This Row],[Team Number]],CoreValuesResults[Team Number],0))),0, INDEX(CoreValuesResults[Motivate Selection],MATCH(TournamentData[[#This Row],[Team Number]],CoreValuesResults[Team Number],0)))</f>
        <v>0</v>
      </c>
      <c r="T20" s="46"/>
      <c r="U20" s="40">
        <f>IF(ISNA(INDEX(CoreValuesResults[Core Values Score],MATCH(TournamentData[[#This Row],[Team Number]],CoreValuesResults[Team Number],0))),0,INDEX(CoreValuesResults[Core Values Score],MATCH(TournamentData[[#This Row],[Team Number]],CoreValuesResults[Team Number],0)))</f>
        <v>0</v>
      </c>
      <c r="V2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0" s="40">
        <f>IF(ISNA(INDEX(RobotDesignResults[Robot Design Score],MATCH(TournamentData[[#This Row],[Team Number]],RobotDesignResults[Team Number],0))),0,INDEX(RobotDesignResults[Robot Design Score],MATCH(TournamentData[[#This Row],[Team Number]],RobotDesignResults[Team Number],0)))</f>
        <v>0</v>
      </c>
      <c r="X2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0" s="48">
        <f t="shared" si="0"/>
        <v>0</v>
      </c>
      <c r="AC20" s="72"/>
      <c r="AD20" s="49"/>
      <c r="AE20" s="46"/>
    </row>
    <row r="21" spans="1:31" s="45" customFormat="1" ht="20.25" customHeight="1" x14ac:dyDescent="0.3">
      <c r="A21" s="40"/>
      <c r="B21" s="41" t="str">
        <f>IF(ISNA(INDEX(OfficialTeamList[Team Name],MATCH(TournamentData[[#This Row],[Team Number]], OfficialTeamList[Team Number],0))),"",INDEX(OfficialTeamList[Team Name],MATCH(TournamentData[[#This Row],[Team Number]], OfficialTeamList[Team Number],0)))</f>
        <v/>
      </c>
      <c r="C21" s="42" t="str">
        <f>IF(TournamentData[[#This Row],[Team Number]]="","",IF(ISNA(INDEX('Robot Game Scores'!C:C,MATCH(TournamentData[[#This Row],[Team Number]], 'Robot Game Scores'!$B:$B,0))),0,INDEX('Robot Game Scores'!C:C,MATCH(TournamentData[[#This Row],[Team Number]], 'Robot Game Scores'!$B:$B,0))))</f>
        <v/>
      </c>
      <c r="D21" s="42" t="str">
        <f>IF(TournamentData[[#This Row],[Team Number]]="","",IF(ISNA(INDEX('Robot Game Scores'!D:D,MATCH(TournamentData[[#This Row],[Team Number]], 'Robot Game Scores'!$B:$B,0))),0,INDEX('Robot Game Scores'!D:D,MATCH(TournamentData[[#This Row],[Team Number]], 'Robot Game Scores'!$B:$B,0))))</f>
        <v/>
      </c>
      <c r="E21" s="42" t="str">
        <f>IF(TournamentData[[#This Row],[Team Number]]="","",IF(ISNA(INDEX('Robot Game Scores'!E:E,MATCH(TournamentData[[#This Row],[Team Number]], 'Robot Game Scores'!$B:$B,0))),0,INDEX('Robot Game Scores'!E:E,MATCH(TournamentData[[#This Row],[Team Number]], 'Robot Game Scores'!$B:$B,0))))</f>
        <v/>
      </c>
      <c r="F21" s="42" t="str">
        <f>IF(TournamentData[[#This Row],[Team Number]]="","",IF(ISNA(INDEX('Robot Game Scores'!F:F,MATCH(TournamentData[[#This Row],[Team Number]], 'Robot Game Scores'!$B:$B,0))),0,INDEX('Robot Game Scores'!F:F,MATCH(TournamentData[[#This Row],[Team Number]], 'Robot Game Scores'!$B:$B,0))))</f>
        <v/>
      </c>
      <c r="G21" s="42" t="str">
        <f>IF(TournamentData[[#This Row],[Team Number]]="","",IF(ISNA(INDEX('Robot Game Scores'!G:G,MATCH(TournamentData[[#This Row],[Team Number]], 'Robot Game Scores'!$B:$B,0))),0,INDEX('Robot Game Scores'!G:G,MATCH(TournamentData[[#This Row],[Team Number]], 'Robot Game Scores'!$B:$B,0))))</f>
        <v/>
      </c>
      <c r="H2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1" s="42" t="str">
        <f>IF(TournamentData[[#This Row],[Team Number]]="","",_xlfn.RANK.EQ(TournamentData[[#This Row],[Max Robot Game Score]],TournamentData[Max Robot Game Score]))</f>
        <v/>
      </c>
      <c r="J2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1" s="43" t="str">
        <f>IF(TournamentData[[#This Row],[Team Number]]="","",IF(M21,RANK(M21,M$3:M$110,1)-COUNTIF(M$3:M$110,0),NumberOfTeams+1))</f>
        <v/>
      </c>
      <c r="O21" s="44">
        <f>IF(ISNA(INDEX(CoreValuesResults[Breakthrough Selection],MATCH(TournamentData[[#This Row],[Team Number]],CoreValuesResults[Team Number],0))),0, INDEX(CoreValuesResults[Breakthrough Selection],MATCH(TournamentData[[#This Row],[Team Number]],CoreValuesResults[Team Number],0)))</f>
        <v>0</v>
      </c>
      <c r="P21" s="44">
        <f>IF(ISNA(INDEX(CoreValuesResults[Rising All-Star Selection],MATCH(TournamentData[[#This Row],[Team Number]],CoreValuesResults[Team Number],0))),0, INDEX(CoreValuesResults[Rising All-Star Selection],MATCH(TournamentData[[#This Row],[Team Number]],CoreValuesResults[Team Number],0)))</f>
        <v>0</v>
      </c>
      <c r="Q21" s="44">
        <f>IF(ISNA(INDEX(CoreValuesResults[Motivate Selection],MATCH(TournamentData[[#This Row],[Team Number]],CoreValuesResults[Team Number],0))),0, INDEX(CoreValuesResults[Motivate Selection],MATCH(TournamentData[[#This Row],[Team Number]],CoreValuesResults[Team Number],0)))</f>
        <v>0</v>
      </c>
      <c r="T21" s="46"/>
      <c r="U21" s="40">
        <f>IF(ISNA(INDEX(CoreValuesResults[Core Values Score],MATCH(TournamentData[[#This Row],[Team Number]],CoreValuesResults[Team Number],0))),0,INDEX(CoreValuesResults[Core Values Score],MATCH(TournamentData[[#This Row],[Team Number]],CoreValuesResults[Team Number],0)))</f>
        <v>0</v>
      </c>
      <c r="V2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1" s="40">
        <f>IF(ISNA(INDEX(RobotDesignResults[Robot Design Score],MATCH(TournamentData[[#This Row],[Team Number]],RobotDesignResults[Team Number],0))),0,INDEX(RobotDesignResults[Robot Design Score],MATCH(TournamentData[[#This Row],[Team Number]],RobotDesignResults[Team Number],0)))</f>
        <v>0</v>
      </c>
      <c r="X2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1" s="48">
        <f t="shared" si="0"/>
        <v>0</v>
      </c>
      <c r="AC21" s="72"/>
      <c r="AD21" s="49"/>
      <c r="AE21" s="46"/>
    </row>
    <row r="22" spans="1:31" s="45" customFormat="1" ht="20.25" customHeight="1" x14ac:dyDescent="0.3">
      <c r="A22" s="40"/>
      <c r="B22" s="41" t="str">
        <f>IF(ISNA(INDEX(OfficialTeamList[Team Name],MATCH(TournamentData[[#This Row],[Team Number]], OfficialTeamList[Team Number],0))),"",INDEX(OfficialTeamList[Team Name],MATCH(TournamentData[[#This Row],[Team Number]], OfficialTeamList[Team Number],0)))</f>
        <v/>
      </c>
      <c r="C22" s="42" t="str">
        <f>IF(TournamentData[[#This Row],[Team Number]]="","",IF(ISNA(INDEX('Robot Game Scores'!C:C,MATCH(TournamentData[[#This Row],[Team Number]], 'Robot Game Scores'!$B:$B,0))),0,INDEX('Robot Game Scores'!C:C,MATCH(TournamentData[[#This Row],[Team Number]], 'Robot Game Scores'!$B:$B,0))))</f>
        <v/>
      </c>
      <c r="D22" s="42" t="str">
        <f>IF(TournamentData[[#This Row],[Team Number]]="","",IF(ISNA(INDEX('Robot Game Scores'!D:D,MATCH(TournamentData[[#This Row],[Team Number]], 'Robot Game Scores'!$B:$B,0))),0,INDEX('Robot Game Scores'!D:D,MATCH(TournamentData[[#This Row],[Team Number]], 'Robot Game Scores'!$B:$B,0))))</f>
        <v/>
      </c>
      <c r="E22" s="42" t="str">
        <f>IF(TournamentData[[#This Row],[Team Number]]="","",IF(ISNA(INDEX('Robot Game Scores'!E:E,MATCH(TournamentData[[#This Row],[Team Number]], 'Robot Game Scores'!$B:$B,0))),0,INDEX('Robot Game Scores'!E:E,MATCH(TournamentData[[#This Row],[Team Number]], 'Robot Game Scores'!$B:$B,0))))</f>
        <v/>
      </c>
      <c r="F22" s="42" t="str">
        <f>IF(TournamentData[[#This Row],[Team Number]]="","",IF(ISNA(INDEX('Robot Game Scores'!F:F,MATCH(TournamentData[[#This Row],[Team Number]], 'Robot Game Scores'!$B:$B,0))),0,INDEX('Robot Game Scores'!F:F,MATCH(TournamentData[[#This Row],[Team Number]], 'Robot Game Scores'!$B:$B,0))))</f>
        <v/>
      </c>
      <c r="G22" s="42" t="str">
        <f>IF(TournamentData[[#This Row],[Team Number]]="","",IF(ISNA(INDEX('Robot Game Scores'!G:G,MATCH(TournamentData[[#This Row],[Team Number]], 'Robot Game Scores'!$B:$B,0))),0,INDEX('Robot Game Scores'!G:G,MATCH(TournamentData[[#This Row],[Team Number]], 'Robot Game Scores'!$B:$B,0))))</f>
        <v/>
      </c>
      <c r="H2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2" s="42" t="str">
        <f>IF(TournamentData[[#This Row],[Team Number]]="","",_xlfn.RANK.EQ(TournamentData[[#This Row],[Max Robot Game Score]],TournamentData[Max Robot Game Score]))</f>
        <v/>
      </c>
      <c r="J2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2" s="43" t="str">
        <f>IF(TournamentData[[#This Row],[Team Number]]="","",IF(M22,RANK(M22,M$3:M$110,1)-COUNTIF(M$3:M$110,0),NumberOfTeams+1))</f>
        <v/>
      </c>
      <c r="O22" s="44">
        <f>IF(ISNA(INDEX(CoreValuesResults[Breakthrough Selection],MATCH(TournamentData[[#This Row],[Team Number]],CoreValuesResults[Team Number],0))),0, INDEX(CoreValuesResults[Breakthrough Selection],MATCH(TournamentData[[#This Row],[Team Number]],CoreValuesResults[Team Number],0)))</f>
        <v>0</v>
      </c>
      <c r="P22" s="44">
        <f>IF(ISNA(INDEX(CoreValuesResults[Rising All-Star Selection],MATCH(TournamentData[[#This Row],[Team Number]],CoreValuesResults[Team Number],0))),0, INDEX(CoreValuesResults[Rising All-Star Selection],MATCH(TournamentData[[#This Row],[Team Number]],CoreValuesResults[Team Number],0)))</f>
        <v>0</v>
      </c>
      <c r="Q22" s="44">
        <f>IF(ISNA(INDEX(CoreValuesResults[Motivate Selection],MATCH(TournamentData[[#This Row],[Team Number]],CoreValuesResults[Team Number],0))),0, INDEX(CoreValuesResults[Motivate Selection],MATCH(TournamentData[[#This Row],[Team Number]],CoreValuesResults[Team Number],0)))</f>
        <v>0</v>
      </c>
      <c r="T22" s="46"/>
      <c r="U22" s="40">
        <f>IF(ISNA(INDEX(CoreValuesResults[Core Values Score],MATCH(TournamentData[[#This Row],[Team Number]],CoreValuesResults[Team Number],0))),0,INDEX(CoreValuesResults[Core Values Score],MATCH(TournamentData[[#This Row],[Team Number]],CoreValuesResults[Team Number],0)))</f>
        <v>0</v>
      </c>
      <c r="V2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2" s="40">
        <f>IF(ISNA(INDEX(RobotDesignResults[Robot Design Score],MATCH(TournamentData[[#This Row],[Team Number]],RobotDesignResults[Team Number],0))),0,INDEX(RobotDesignResults[Robot Design Score],MATCH(TournamentData[[#This Row],[Team Number]],RobotDesignResults[Team Number],0)))</f>
        <v>0</v>
      </c>
      <c r="X2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2" s="48">
        <f t="shared" si="0"/>
        <v>0</v>
      </c>
      <c r="AC22" s="72"/>
      <c r="AD22" s="49"/>
      <c r="AE22" s="46"/>
    </row>
    <row r="23" spans="1:31" s="45" customFormat="1" ht="20.25" customHeight="1" x14ac:dyDescent="0.3">
      <c r="A23" s="40"/>
      <c r="B23" s="41" t="str">
        <f>IF(ISNA(INDEX(OfficialTeamList[Team Name],MATCH(TournamentData[[#This Row],[Team Number]], OfficialTeamList[Team Number],0))),"",INDEX(OfficialTeamList[Team Name],MATCH(TournamentData[[#This Row],[Team Number]], OfficialTeamList[Team Number],0)))</f>
        <v/>
      </c>
      <c r="C23" s="42" t="str">
        <f>IF(TournamentData[[#This Row],[Team Number]]="","",IF(ISNA(INDEX('Robot Game Scores'!C:C,MATCH(TournamentData[[#This Row],[Team Number]], 'Robot Game Scores'!$B:$B,0))),0,INDEX('Robot Game Scores'!C:C,MATCH(TournamentData[[#This Row],[Team Number]], 'Robot Game Scores'!$B:$B,0))))</f>
        <v/>
      </c>
      <c r="D23" s="42" t="str">
        <f>IF(TournamentData[[#This Row],[Team Number]]="","",IF(ISNA(INDEX('Robot Game Scores'!D:D,MATCH(TournamentData[[#This Row],[Team Number]], 'Robot Game Scores'!$B:$B,0))),0,INDEX('Robot Game Scores'!D:D,MATCH(TournamentData[[#This Row],[Team Number]], 'Robot Game Scores'!$B:$B,0))))</f>
        <v/>
      </c>
      <c r="E23" s="42" t="str">
        <f>IF(TournamentData[[#This Row],[Team Number]]="","",IF(ISNA(INDEX('Robot Game Scores'!E:E,MATCH(TournamentData[[#This Row],[Team Number]], 'Robot Game Scores'!$B:$B,0))),0,INDEX('Robot Game Scores'!E:E,MATCH(TournamentData[[#This Row],[Team Number]], 'Robot Game Scores'!$B:$B,0))))</f>
        <v/>
      </c>
      <c r="F23" s="42" t="str">
        <f>IF(TournamentData[[#This Row],[Team Number]]="","",IF(ISNA(INDEX('Robot Game Scores'!F:F,MATCH(TournamentData[[#This Row],[Team Number]], 'Robot Game Scores'!$B:$B,0))),0,INDEX('Robot Game Scores'!F:F,MATCH(TournamentData[[#This Row],[Team Number]], 'Robot Game Scores'!$B:$B,0))))</f>
        <v/>
      </c>
      <c r="G23" s="42" t="str">
        <f>IF(TournamentData[[#This Row],[Team Number]]="","",IF(ISNA(INDEX('Robot Game Scores'!G:G,MATCH(TournamentData[[#This Row],[Team Number]], 'Robot Game Scores'!$B:$B,0))),0,INDEX('Robot Game Scores'!G:G,MATCH(TournamentData[[#This Row],[Team Number]], 'Robot Game Scores'!$B:$B,0))))</f>
        <v/>
      </c>
      <c r="H2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3" s="42" t="str">
        <f>IF(TournamentData[[#This Row],[Team Number]]="","",_xlfn.RANK.EQ(TournamentData[[#This Row],[Max Robot Game Score]],TournamentData[Max Robot Game Score]))</f>
        <v/>
      </c>
      <c r="J2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3" s="43" t="str">
        <f>IF(TournamentData[[#This Row],[Team Number]]="","",IF(M23,RANK(M23,M$3:M$110,1)-COUNTIF(M$3:M$110,0),NumberOfTeams+1))</f>
        <v/>
      </c>
      <c r="O23" s="44">
        <f>IF(ISNA(INDEX(CoreValuesResults[Breakthrough Selection],MATCH(TournamentData[[#This Row],[Team Number]],CoreValuesResults[Team Number],0))),0, INDEX(CoreValuesResults[Breakthrough Selection],MATCH(TournamentData[[#This Row],[Team Number]],CoreValuesResults[Team Number],0)))</f>
        <v>0</v>
      </c>
      <c r="P23" s="44">
        <f>IF(ISNA(INDEX(CoreValuesResults[Rising All-Star Selection],MATCH(TournamentData[[#This Row],[Team Number]],CoreValuesResults[Team Number],0))),0, INDEX(CoreValuesResults[Rising All-Star Selection],MATCH(TournamentData[[#This Row],[Team Number]],CoreValuesResults[Team Number],0)))</f>
        <v>0</v>
      </c>
      <c r="Q23" s="44">
        <f>IF(ISNA(INDEX(CoreValuesResults[Motivate Selection],MATCH(TournamentData[[#This Row],[Team Number]],CoreValuesResults[Team Number],0))),0, INDEX(CoreValuesResults[Motivate Selection],MATCH(TournamentData[[#This Row],[Team Number]],CoreValuesResults[Team Number],0)))</f>
        <v>0</v>
      </c>
      <c r="T23" s="46"/>
      <c r="U23" s="40">
        <f>IF(ISNA(INDEX(CoreValuesResults[Core Values Score],MATCH(TournamentData[[#This Row],[Team Number]],CoreValuesResults[Team Number],0))),0,INDEX(CoreValuesResults[Core Values Score],MATCH(TournamentData[[#This Row],[Team Number]],CoreValuesResults[Team Number],0)))</f>
        <v>0</v>
      </c>
      <c r="V2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3" s="40">
        <f>IF(ISNA(INDEX(RobotDesignResults[Robot Design Score],MATCH(TournamentData[[#This Row],[Team Number]],RobotDesignResults[Team Number],0))),0,INDEX(RobotDesignResults[Robot Design Score],MATCH(TournamentData[[#This Row],[Team Number]],RobotDesignResults[Team Number],0)))</f>
        <v>0</v>
      </c>
      <c r="X2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3" s="48">
        <f t="shared" si="0"/>
        <v>0</v>
      </c>
      <c r="AC23" s="72"/>
      <c r="AD23" s="49"/>
      <c r="AE23" s="46"/>
    </row>
    <row r="24" spans="1:31" s="45" customFormat="1" ht="20.25" customHeight="1" x14ac:dyDescent="0.3">
      <c r="A24" s="40"/>
      <c r="B24" s="41" t="str">
        <f>IF(ISNA(INDEX(OfficialTeamList[Team Name],MATCH(TournamentData[[#This Row],[Team Number]], OfficialTeamList[Team Number],0))),"",INDEX(OfficialTeamList[Team Name],MATCH(TournamentData[[#This Row],[Team Number]], OfficialTeamList[Team Number],0)))</f>
        <v/>
      </c>
      <c r="C24" s="42" t="str">
        <f>IF(TournamentData[[#This Row],[Team Number]]="","",IF(ISNA(INDEX('Robot Game Scores'!C:C,MATCH(TournamentData[[#This Row],[Team Number]], 'Robot Game Scores'!$B:$B,0))),0,INDEX('Robot Game Scores'!C:C,MATCH(TournamentData[[#This Row],[Team Number]], 'Robot Game Scores'!$B:$B,0))))</f>
        <v/>
      </c>
      <c r="D24" s="42" t="str">
        <f>IF(TournamentData[[#This Row],[Team Number]]="","",IF(ISNA(INDEX('Robot Game Scores'!D:D,MATCH(TournamentData[[#This Row],[Team Number]], 'Robot Game Scores'!$B:$B,0))),0,INDEX('Robot Game Scores'!D:D,MATCH(TournamentData[[#This Row],[Team Number]], 'Robot Game Scores'!$B:$B,0))))</f>
        <v/>
      </c>
      <c r="E24" s="42" t="str">
        <f>IF(TournamentData[[#This Row],[Team Number]]="","",IF(ISNA(INDEX('Robot Game Scores'!E:E,MATCH(TournamentData[[#This Row],[Team Number]], 'Robot Game Scores'!$B:$B,0))),0,INDEX('Robot Game Scores'!E:E,MATCH(TournamentData[[#This Row],[Team Number]], 'Robot Game Scores'!$B:$B,0))))</f>
        <v/>
      </c>
      <c r="F24" s="42" t="str">
        <f>IF(TournamentData[[#This Row],[Team Number]]="","",IF(ISNA(INDEX('Robot Game Scores'!F:F,MATCH(TournamentData[[#This Row],[Team Number]], 'Robot Game Scores'!$B:$B,0))),0,INDEX('Robot Game Scores'!F:F,MATCH(TournamentData[[#This Row],[Team Number]], 'Robot Game Scores'!$B:$B,0))))</f>
        <v/>
      </c>
      <c r="G24" s="42" t="str">
        <f>IF(TournamentData[[#This Row],[Team Number]]="","",IF(ISNA(INDEX('Robot Game Scores'!G:G,MATCH(TournamentData[[#This Row],[Team Number]], 'Robot Game Scores'!$B:$B,0))),0,INDEX('Robot Game Scores'!G:G,MATCH(TournamentData[[#This Row],[Team Number]], 'Robot Game Scores'!$B:$B,0))))</f>
        <v/>
      </c>
      <c r="H2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4" s="42" t="str">
        <f>IF(TournamentData[[#This Row],[Team Number]]="","",_xlfn.RANK.EQ(TournamentData[[#This Row],[Max Robot Game Score]],TournamentData[Max Robot Game Score]))</f>
        <v/>
      </c>
      <c r="J2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4" s="43" t="str">
        <f>IF(TournamentData[[#This Row],[Team Number]]="","",IF(M24,RANK(M24,M$3:M$110,1)-COUNTIF(M$3:M$110,0),NumberOfTeams+1))</f>
        <v/>
      </c>
      <c r="O24" s="44">
        <f>IF(ISNA(INDEX(CoreValuesResults[Breakthrough Selection],MATCH(TournamentData[[#This Row],[Team Number]],CoreValuesResults[Team Number],0))),0, INDEX(CoreValuesResults[Breakthrough Selection],MATCH(TournamentData[[#This Row],[Team Number]],CoreValuesResults[Team Number],0)))</f>
        <v>0</v>
      </c>
      <c r="P24" s="44">
        <f>IF(ISNA(INDEX(CoreValuesResults[Rising All-Star Selection],MATCH(TournamentData[[#This Row],[Team Number]],CoreValuesResults[Team Number],0))),0, INDEX(CoreValuesResults[Rising All-Star Selection],MATCH(TournamentData[[#This Row],[Team Number]],CoreValuesResults[Team Number],0)))</f>
        <v>0</v>
      </c>
      <c r="Q24" s="44">
        <f>IF(ISNA(INDEX(CoreValuesResults[Motivate Selection],MATCH(TournamentData[[#This Row],[Team Number]],CoreValuesResults[Team Number],0))),0, INDEX(CoreValuesResults[Motivate Selection],MATCH(TournamentData[[#This Row],[Team Number]],CoreValuesResults[Team Number],0)))</f>
        <v>0</v>
      </c>
      <c r="T24" s="46"/>
      <c r="U24" s="40">
        <f>IF(ISNA(INDEX(CoreValuesResults[Core Values Score],MATCH(TournamentData[[#This Row],[Team Number]],CoreValuesResults[Team Number],0))),0,INDEX(CoreValuesResults[Core Values Score],MATCH(TournamentData[[#This Row],[Team Number]],CoreValuesResults[Team Number],0)))</f>
        <v>0</v>
      </c>
      <c r="V2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4" s="40">
        <f>IF(ISNA(INDEX(RobotDesignResults[Robot Design Score],MATCH(TournamentData[[#This Row],[Team Number]],RobotDesignResults[Team Number],0))),0,INDEX(RobotDesignResults[Robot Design Score],MATCH(TournamentData[[#This Row],[Team Number]],RobotDesignResults[Team Number],0)))</f>
        <v>0</v>
      </c>
      <c r="X2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4" s="48">
        <f t="shared" si="0"/>
        <v>0</v>
      </c>
      <c r="AC24" s="72"/>
      <c r="AD24" s="49"/>
      <c r="AE24" s="46"/>
    </row>
    <row r="25" spans="1:31" s="45" customFormat="1" ht="20.25" customHeight="1" x14ac:dyDescent="0.3">
      <c r="A25" s="40"/>
      <c r="B25" s="41" t="str">
        <f>IF(ISNA(INDEX(OfficialTeamList[Team Name],MATCH(TournamentData[[#This Row],[Team Number]], OfficialTeamList[Team Number],0))),"",INDEX(OfficialTeamList[Team Name],MATCH(TournamentData[[#This Row],[Team Number]], OfficialTeamList[Team Number],0)))</f>
        <v/>
      </c>
      <c r="C25" s="42" t="str">
        <f>IF(TournamentData[[#This Row],[Team Number]]="","",IF(ISNA(INDEX('Robot Game Scores'!C:C,MATCH(TournamentData[[#This Row],[Team Number]], 'Robot Game Scores'!$B:$B,0))),0,INDEX('Robot Game Scores'!C:C,MATCH(TournamentData[[#This Row],[Team Number]], 'Robot Game Scores'!$B:$B,0))))</f>
        <v/>
      </c>
      <c r="D25" s="42" t="str">
        <f>IF(TournamentData[[#This Row],[Team Number]]="","",IF(ISNA(INDEX('Robot Game Scores'!D:D,MATCH(TournamentData[[#This Row],[Team Number]], 'Robot Game Scores'!$B:$B,0))),0,INDEX('Robot Game Scores'!D:D,MATCH(TournamentData[[#This Row],[Team Number]], 'Robot Game Scores'!$B:$B,0))))</f>
        <v/>
      </c>
      <c r="E25" s="42" t="str">
        <f>IF(TournamentData[[#This Row],[Team Number]]="","",IF(ISNA(INDEX('Robot Game Scores'!E:E,MATCH(TournamentData[[#This Row],[Team Number]], 'Robot Game Scores'!$B:$B,0))),0,INDEX('Robot Game Scores'!E:E,MATCH(TournamentData[[#This Row],[Team Number]], 'Robot Game Scores'!$B:$B,0))))</f>
        <v/>
      </c>
      <c r="F25" s="42" t="str">
        <f>IF(TournamentData[[#This Row],[Team Number]]="","",IF(ISNA(INDEX('Robot Game Scores'!F:F,MATCH(TournamentData[[#This Row],[Team Number]], 'Robot Game Scores'!$B:$B,0))),0,INDEX('Robot Game Scores'!F:F,MATCH(TournamentData[[#This Row],[Team Number]], 'Robot Game Scores'!$B:$B,0))))</f>
        <v/>
      </c>
      <c r="G25" s="42" t="str">
        <f>IF(TournamentData[[#This Row],[Team Number]]="","",IF(ISNA(INDEX('Robot Game Scores'!G:G,MATCH(TournamentData[[#This Row],[Team Number]], 'Robot Game Scores'!$B:$B,0))),0,INDEX('Robot Game Scores'!G:G,MATCH(TournamentData[[#This Row],[Team Number]], 'Robot Game Scores'!$B:$B,0))))</f>
        <v/>
      </c>
      <c r="H2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5" s="42" t="str">
        <f>IF(TournamentData[[#This Row],[Team Number]]="","",_xlfn.RANK.EQ(TournamentData[[#This Row],[Max Robot Game Score]],TournamentData[Max Robot Game Score]))</f>
        <v/>
      </c>
      <c r="J2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5" s="43" t="str">
        <f>IF(TournamentData[[#This Row],[Team Number]]="","",IF(M25,RANK(M25,M$3:M$110,1)-COUNTIF(M$3:M$110,0),NumberOfTeams+1))</f>
        <v/>
      </c>
      <c r="O25" s="44">
        <f>IF(ISNA(INDEX(CoreValuesResults[Breakthrough Selection],MATCH(TournamentData[[#This Row],[Team Number]],CoreValuesResults[Team Number],0))),0, INDEX(CoreValuesResults[Breakthrough Selection],MATCH(TournamentData[[#This Row],[Team Number]],CoreValuesResults[Team Number],0)))</f>
        <v>0</v>
      </c>
      <c r="P25" s="44">
        <f>IF(ISNA(INDEX(CoreValuesResults[Rising All-Star Selection],MATCH(TournamentData[[#This Row],[Team Number]],CoreValuesResults[Team Number],0))),0, INDEX(CoreValuesResults[Rising All-Star Selection],MATCH(TournamentData[[#This Row],[Team Number]],CoreValuesResults[Team Number],0)))</f>
        <v>0</v>
      </c>
      <c r="Q25" s="44">
        <f>IF(ISNA(INDEX(CoreValuesResults[Motivate Selection],MATCH(TournamentData[[#This Row],[Team Number]],CoreValuesResults[Team Number],0))),0, INDEX(CoreValuesResults[Motivate Selection],MATCH(TournamentData[[#This Row],[Team Number]],CoreValuesResults[Team Number],0)))</f>
        <v>0</v>
      </c>
      <c r="T25" s="46"/>
      <c r="U25" s="40">
        <f>IF(ISNA(INDEX(CoreValuesResults[Core Values Score],MATCH(TournamentData[[#This Row],[Team Number]],CoreValuesResults[Team Number],0))),0,INDEX(CoreValuesResults[Core Values Score],MATCH(TournamentData[[#This Row],[Team Number]],CoreValuesResults[Team Number],0)))</f>
        <v>0</v>
      </c>
      <c r="V2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5" s="40">
        <f>IF(ISNA(INDEX(RobotDesignResults[Robot Design Score],MATCH(TournamentData[[#This Row],[Team Number]],RobotDesignResults[Team Number],0))),0,INDEX(RobotDesignResults[Robot Design Score],MATCH(TournamentData[[#This Row],[Team Number]],RobotDesignResults[Team Number],0)))</f>
        <v>0</v>
      </c>
      <c r="X2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5" s="48">
        <f t="shared" si="0"/>
        <v>0</v>
      </c>
      <c r="AC25" s="72"/>
      <c r="AD25" s="49"/>
      <c r="AE25" s="46"/>
    </row>
    <row r="26" spans="1:31" s="45" customFormat="1" ht="20.25" customHeight="1" x14ac:dyDescent="0.3">
      <c r="A26" s="40"/>
      <c r="B26" s="41" t="str">
        <f>IF(ISNA(INDEX(OfficialTeamList[Team Name],MATCH(TournamentData[[#This Row],[Team Number]], OfficialTeamList[Team Number],0))),"",INDEX(OfficialTeamList[Team Name],MATCH(TournamentData[[#This Row],[Team Number]], OfficialTeamList[Team Number],0)))</f>
        <v/>
      </c>
      <c r="C26" s="42" t="str">
        <f>IF(TournamentData[[#This Row],[Team Number]]="","",IF(ISNA(INDEX('Robot Game Scores'!C:C,MATCH(TournamentData[[#This Row],[Team Number]], 'Robot Game Scores'!$B:$B,0))),0,INDEX('Robot Game Scores'!C:C,MATCH(TournamentData[[#This Row],[Team Number]], 'Robot Game Scores'!$B:$B,0))))</f>
        <v/>
      </c>
      <c r="D26" s="42" t="str">
        <f>IF(TournamentData[[#This Row],[Team Number]]="","",IF(ISNA(INDEX('Robot Game Scores'!D:D,MATCH(TournamentData[[#This Row],[Team Number]], 'Robot Game Scores'!$B:$B,0))),0,INDEX('Robot Game Scores'!D:D,MATCH(TournamentData[[#This Row],[Team Number]], 'Robot Game Scores'!$B:$B,0))))</f>
        <v/>
      </c>
      <c r="E26" s="42" t="str">
        <f>IF(TournamentData[[#This Row],[Team Number]]="","",IF(ISNA(INDEX('Robot Game Scores'!E:E,MATCH(TournamentData[[#This Row],[Team Number]], 'Robot Game Scores'!$B:$B,0))),0,INDEX('Robot Game Scores'!E:E,MATCH(TournamentData[[#This Row],[Team Number]], 'Robot Game Scores'!$B:$B,0))))</f>
        <v/>
      </c>
      <c r="F26" s="42" t="str">
        <f>IF(TournamentData[[#This Row],[Team Number]]="","",IF(ISNA(INDEX('Robot Game Scores'!F:F,MATCH(TournamentData[[#This Row],[Team Number]], 'Robot Game Scores'!$B:$B,0))),0,INDEX('Robot Game Scores'!F:F,MATCH(TournamentData[[#This Row],[Team Number]], 'Robot Game Scores'!$B:$B,0))))</f>
        <v/>
      </c>
      <c r="G26" s="42" t="str">
        <f>IF(TournamentData[[#This Row],[Team Number]]="","",IF(ISNA(INDEX('Robot Game Scores'!G:G,MATCH(TournamentData[[#This Row],[Team Number]], 'Robot Game Scores'!$B:$B,0))),0,INDEX('Robot Game Scores'!G:G,MATCH(TournamentData[[#This Row],[Team Number]], 'Robot Game Scores'!$B:$B,0))))</f>
        <v/>
      </c>
      <c r="H2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6" s="42" t="str">
        <f>IF(TournamentData[[#This Row],[Team Number]]="","",_xlfn.RANK.EQ(TournamentData[[#This Row],[Max Robot Game Score]],TournamentData[Max Robot Game Score]))</f>
        <v/>
      </c>
      <c r="J2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6" s="43" t="str">
        <f>IF(TournamentData[[#This Row],[Team Number]]="","",IF(M26,RANK(M26,M$3:M$110,1)-COUNTIF(M$3:M$110,0),NumberOfTeams+1))</f>
        <v/>
      </c>
      <c r="O26" s="50">
        <f>IF(ISNA(INDEX(CoreValuesResults[Breakthrough Selection],MATCH(TournamentData[[#This Row],[Team Number]],CoreValuesResults[Team Number],0))),0, INDEX(CoreValuesResults[Breakthrough Selection],MATCH(TournamentData[[#This Row],[Team Number]],CoreValuesResults[Team Number],0)))</f>
        <v>0</v>
      </c>
      <c r="P26" s="50">
        <f>IF(ISNA(INDEX(CoreValuesResults[Rising All-Star Selection],MATCH(TournamentData[[#This Row],[Team Number]],CoreValuesResults[Team Number],0))),0, INDEX(CoreValuesResults[Rising All-Star Selection],MATCH(TournamentData[[#This Row],[Team Number]],CoreValuesResults[Team Number],0)))</f>
        <v>0</v>
      </c>
      <c r="Q26" s="50">
        <f>IF(ISNA(INDEX(CoreValuesResults[Motivate Selection],MATCH(TournamentData[[#This Row],[Team Number]],CoreValuesResults[Team Number],0))),0, INDEX(CoreValuesResults[Motivate Selection],MATCH(TournamentData[[#This Row],[Team Number]],CoreValuesResults[Team Number],0)))</f>
        <v>0</v>
      </c>
      <c r="T26" s="46"/>
      <c r="U26" s="40">
        <f>IF(ISNA(INDEX(CoreValuesResults[Core Values Score],MATCH(TournamentData[[#This Row],[Team Number]],CoreValuesResults[Team Number],0))),0,INDEX(CoreValuesResults[Core Values Score],MATCH(TournamentData[[#This Row],[Team Number]],CoreValuesResults[Team Number],0)))</f>
        <v>0</v>
      </c>
      <c r="V2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6" s="40">
        <f>IF(ISNA(INDEX(RobotDesignResults[Robot Design Score],MATCH(TournamentData[[#This Row],[Team Number]],RobotDesignResults[Team Number],0))),0,INDEX(RobotDesignResults[Robot Design Score],MATCH(TournamentData[[#This Row],[Team Number]],RobotDesignResults[Team Number],0)))</f>
        <v>0</v>
      </c>
      <c r="X2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6" s="48">
        <f t="shared" si="0"/>
        <v>0</v>
      </c>
      <c r="AC26" s="72"/>
      <c r="AD26" s="49"/>
      <c r="AE26" s="46"/>
    </row>
    <row r="27" spans="1:31" s="45" customFormat="1" ht="20.25" customHeight="1" x14ac:dyDescent="0.3">
      <c r="A27" s="40"/>
      <c r="B27" s="41" t="str">
        <f>IF(ISNA(INDEX(OfficialTeamList[Team Name],MATCH(TournamentData[[#This Row],[Team Number]], OfficialTeamList[Team Number],0))),"",INDEX(OfficialTeamList[Team Name],MATCH(TournamentData[[#This Row],[Team Number]], OfficialTeamList[Team Number],0)))</f>
        <v/>
      </c>
      <c r="C27" s="42" t="str">
        <f>IF(TournamentData[[#This Row],[Team Number]]="","",IF(ISNA(INDEX('Robot Game Scores'!C:C,MATCH(TournamentData[[#This Row],[Team Number]], 'Robot Game Scores'!$B:$B,0))),0,INDEX('Robot Game Scores'!C:C,MATCH(TournamentData[[#This Row],[Team Number]], 'Robot Game Scores'!$B:$B,0))))</f>
        <v/>
      </c>
      <c r="D27" s="42" t="str">
        <f>IF(TournamentData[[#This Row],[Team Number]]="","",IF(ISNA(INDEX('Robot Game Scores'!D:D,MATCH(TournamentData[[#This Row],[Team Number]], 'Robot Game Scores'!$B:$B,0))),0,INDEX('Robot Game Scores'!D:D,MATCH(TournamentData[[#This Row],[Team Number]], 'Robot Game Scores'!$B:$B,0))))</f>
        <v/>
      </c>
      <c r="E27" s="42" t="str">
        <f>IF(TournamentData[[#This Row],[Team Number]]="","",IF(ISNA(INDEX('Robot Game Scores'!E:E,MATCH(TournamentData[[#This Row],[Team Number]], 'Robot Game Scores'!$B:$B,0))),0,INDEX('Robot Game Scores'!E:E,MATCH(TournamentData[[#This Row],[Team Number]], 'Robot Game Scores'!$B:$B,0))))</f>
        <v/>
      </c>
      <c r="F27" s="42" t="str">
        <f>IF(TournamentData[[#This Row],[Team Number]]="","",IF(ISNA(INDEX('Robot Game Scores'!F:F,MATCH(TournamentData[[#This Row],[Team Number]], 'Robot Game Scores'!$B:$B,0))),0,INDEX('Robot Game Scores'!F:F,MATCH(TournamentData[[#This Row],[Team Number]], 'Robot Game Scores'!$B:$B,0))))</f>
        <v/>
      </c>
      <c r="G27" s="42" t="str">
        <f>IF(TournamentData[[#This Row],[Team Number]]="","",IF(ISNA(INDEX('Robot Game Scores'!G:G,MATCH(TournamentData[[#This Row],[Team Number]], 'Robot Game Scores'!$B:$B,0))),0,INDEX('Robot Game Scores'!G:G,MATCH(TournamentData[[#This Row],[Team Number]], 'Robot Game Scores'!$B:$B,0))))</f>
        <v/>
      </c>
      <c r="H2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7" s="42" t="str">
        <f>IF(TournamentData[[#This Row],[Team Number]]="","",_xlfn.RANK.EQ(TournamentData[[#This Row],[Max Robot Game Score]],TournamentData[Max Robot Game Score]))</f>
        <v/>
      </c>
      <c r="J2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7" s="43" t="str">
        <f>IF(TournamentData[[#This Row],[Team Number]]="","",IF(M27,RANK(M27,M$3:M$110,1)-COUNTIF(M$3:M$110,0),NumberOfTeams+1))</f>
        <v/>
      </c>
      <c r="O27" s="44">
        <f>IF(ISNA(INDEX(CoreValuesResults[Breakthrough Selection],MATCH(TournamentData[[#This Row],[Team Number]],CoreValuesResults[Team Number],0))),0, INDEX(CoreValuesResults[Breakthrough Selection],MATCH(TournamentData[[#This Row],[Team Number]],CoreValuesResults[Team Number],0)))</f>
        <v>0</v>
      </c>
      <c r="P27" s="44">
        <f>IF(ISNA(INDEX(CoreValuesResults[Rising All-Star Selection],MATCH(TournamentData[[#This Row],[Team Number]],CoreValuesResults[Team Number],0))),0, INDEX(CoreValuesResults[Rising All-Star Selection],MATCH(TournamentData[[#This Row],[Team Number]],CoreValuesResults[Team Number],0)))</f>
        <v>0</v>
      </c>
      <c r="Q27" s="44">
        <f>IF(ISNA(INDEX(CoreValuesResults[Motivate Selection],MATCH(TournamentData[[#This Row],[Team Number]],CoreValuesResults[Team Number],0))),0, INDEX(CoreValuesResults[Motivate Selection],MATCH(TournamentData[[#This Row],[Team Number]],CoreValuesResults[Team Number],0)))</f>
        <v>0</v>
      </c>
      <c r="T27" s="46"/>
      <c r="U27" s="40">
        <f>IF(ISNA(INDEX(CoreValuesResults[Core Values Score],MATCH(TournamentData[[#This Row],[Team Number]],CoreValuesResults[Team Number],0))),0,INDEX(CoreValuesResults[Core Values Score],MATCH(TournamentData[[#This Row],[Team Number]],CoreValuesResults[Team Number],0)))</f>
        <v>0</v>
      </c>
      <c r="V2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7" s="40">
        <f>IF(ISNA(INDEX(RobotDesignResults[Robot Design Score],MATCH(TournamentData[[#This Row],[Team Number]],RobotDesignResults[Team Number],0))),0,INDEX(RobotDesignResults[Robot Design Score],MATCH(TournamentData[[#This Row],[Team Number]],RobotDesignResults[Team Number],0)))</f>
        <v>0</v>
      </c>
      <c r="X2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7" s="48">
        <f t="shared" si="0"/>
        <v>0</v>
      </c>
      <c r="AC27" s="72"/>
      <c r="AD27" s="49"/>
      <c r="AE27" s="46"/>
    </row>
    <row r="28" spans="1:31" s="45" customFormat="1" ht="20.25" customHeight="1" x14ac:dyDescent="0.3">
      <c r="A28" s="40"/>
      <c r="B28" s="41" t="str">
        <f>IF(ISNA(INDEX(OfficialTeamList[Team Name],MATCH(TournamentData[[#This Row],[Team Number]], OfficialTeamList[Team Number],0))),"",INDEX(OfficialTeamList[Team Name],MATCH(TournamentData[[#This Row],[Team Number]], OfficialTeamList[Team Number],0)))</f>
        <v/>
      </c>
      <c r="C28" s="42" t="str">
        <f>IF(TournamentData[[#This Row],[Team Number]]="","",IF(ISNA(INDEX('Robot Game Scores'!C:C,MATCH(TournamentData[[#This Row],[Team Number]], 'Robot Game Scores'!$B:$B,0))),0,INDEX('Robot Game Scores'!C:C,MATCH(TournamentData[[#This Row],[Team Number]], 'Robot Game Scores'!$B:$B,0))))</f>
        <v/>
      </c>
      <c r="D28" s="42" t="str">
        <f>IF(TournamentData[[#This Row],[Team Number]]="","",IF(ISNA(INDEX('Robot Game Scores'!D:D,MATCH(TournamentData[[#This Row],[Team Number]], 'Robot Game Scores'!$B:$B,0))),0,INDEX('Robot Game Scores'!D:D,MATCH(TournamentData[[#This Row],[Team Number]], 'Robot Game Scores'!$B:$B,0))))</f>
        <v/>
      </c>
      <c r="E28" s="42" t="str">
        <f>IF(TournamentData[[#This Row],[Team Number]]="","",IF(ISNA(INDEX('Robot Game Scores'!E:E,MATCH(TournamentData[[#This Row],[Team Number]], 'Robot Game Scores'!$B:$B,0))),0,INDEX('Robot Game Scores'!E:E,MATCH(TournamentData[[#This Row],[Team Number]], 'Robot Game Scores'!$B:$B,0))))</f>
        <v/>
      </c>
      <c r="F28" s="42" t="str">
        <f>IF(TournamentData[[#This Row],[Team Number]]="","",IF(ISNA(INDEX('Robot Game Scores'!F:F,MATCH(TournamentData[[#This Row],[Team Number]], 'Robot Game Scores'!$B:$B,0))),0,INDEX('Robot Game Scores'!F:F,MATCH(TournamentData[[#This Row],[Team Number]], 'Robot Game Scores'!$B:$B,0))))</f>
        <v/>
      </c>
      <c r="G28" s="42" t="str">
        <f>IF(TournamentData[[#This Row],[Team Number]]="","",IF(ISNA(INDEX('Robot Game Scores'!G:G,MATCH(TournamentData[[#This Row],[Team Number]], 'Robot Game Scores'!$B:$B,0))),0,INDEX('Robot Game Scores'!G:G,MATCH(TournamentData[[#This Row],[Team Number]], 'Robot Game Scores'!$B:$B,0))))</f>
        <v/>
      </c>
      <c r="H2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8" s="42" t="str">
        <f>IF(TournamentData[[#This Row],[Team Number]]="","",_xlfn.RANK.EQ(TournamentData[[#This Row],[Max Robot Game Score]],TournamentData[Max Robot Game Score]))</f>
        <v/>
      </c>
      <c r="J2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8" s="43" t="str">
        <f>IF(TournamentData[[#This Row],[Team Number]]="","",IF(M28,RANK(M28,M$3:M$110,1)-COUNTIF(M$3:M$110,0),NumberOfTeams+1))</f>
        <v/>
      </c>
      <c r="O28" s="44">
        <f>IF(ISNA(INDEX(CoreValuesResults[Breakthrough Selection],MATCH(TournamentData[[#This Row],[Team Number]],CoreValuesResults[Team Number],0))),0, INDEX(CoreValuesResults[Breakthrough Selection],MATCH(TournamentData[[#This Row],[Team Number]],CoreValuesResults[Team Number],0)))</f>
        <v>0</v>
      </c>
      <c r="P28" s="44">
        <f>IF(ISNA(INDEX(CoreValuesResults[Rising All-Star Selection],MATCH(TournamentData[[#This Row],[Team Number]],CoreValuesResults[Team Number],0))),0, INDEX(CoreValuesResults[Rising All-Star Selection],MATCH(TournamentData[[#This Row],[Team Number]],CoreValuesResults[Team Number],0)))</f>
        <v>0</v>
      </c>
      <c r="Q28" s="44">
        <f>IF(ISNA(INDEX(CoreValuesResults[Motivate Selection],MATCH(TournamentData[[#This Row],[Team Number]],CoreValuesResults[Team Number],0))),0, INDEX(CoreValuesResults[Motivate Selection],MATCH(TournamentData[[#This Row],[Team Number]],CoreValuesResults[Team Number],0)))</f>
        <v>0</v>
      </c>
      <c r="T28" s="46"/>
      <c r="U28" s="40">
        <f>IF(ISNA(INDEX(CoreValuesResults[Core Values Score],MATCH(TournamentData[[#This Row],[Team Number]],CoreValuesResults[Team Number],0))),0,INDEX(CoreValuesResults[Core Values Score],MATCH(TournamentData[[#This Row],[Team Number]],CoreValuesResults[Team Number],0)))</f>
        <v>0</v>
      </c>
      <c r="V2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8" s="40">
        <f>IF(ISNA(INDEX(RobotDesignResults[Robot Design Score],MATCH(TournamentData[[#This Row],[Team Number]],RobotDesignResults[Team Number],0))),0,INDEX(RobotDesignResults[Robot Design Score],MATCH(TournamentData[[#This Row],[Team Number]],RobotDesignResults[Team Number],0)))</f>
        <v>0</v>
      </c>
      <c r="X2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8" s="48">
        <f t="shared" si="0"/>
        <v>0</v>
      </c>
      <c r="AC28" s="72"/>
      <c r="AD28" s="49"/>
      <c r="AE28" s="46"/>
    </row>
    <row r="29" spans="1:31" s="45" customFormat="1" ht="20.25" customHeight="1" x14ac:dyDescent="0.3">
      <c r="A29" s="40"/>
      <c r="B29" s="41" t="str">
        <f>IF(ISNA(INDEX(OfficialTeamList[Team Name],MATCH(TournamentData[[#This Row],[Team Number]], OfficialTeamList[Team Number],0))),"",INDEX(OfficialTeamList[Team Name],MATCH(TournamentData[[#This Row],[Team Number]], OfficialTeamList[Team Number],0)))</f>
        <v/>
      </c>
      <c r="C29" s="42" t="str">
        <f>IF(TournamentData[[#This Row],[Team Number]]="","",IF(ISNA(INDEX('Robot Game Scores'!C:C,MATCH(TournamentData[[#This Row],[Team Number]], 'Robot Game Scores'!$B:$B,0))),0,INDEX('Robot Game Scores'!C:C,MATCH(TournamentData[[#This Row],[Team Number]], 'Robot Game Scores'!$B:$B,0))))</f>
        <v/>
      </c>
      <c r="D29" s="42" t="str">
        <f>IF(TournamentData[[#This Row],[Team Number]]="","",IF(ISNA(INDEX('Robot Game Scores'!D:D,MATCH(TournamentData[[#This Row],[Team Number]], 'Robot Game Scores'!$B:$B,0))),0,INDEX('Robot Game Scores'!D:D,MATCH(TournamentData[[#This Row],[Team Number]], 'Robot Game Scores'!$B:$B,0))))</f>
        <v/>
      </c>
      <c r="E29" s="42" t="str">
        <f>IF(TournamentData[[#This Row],[Team Number]]="","",IF(ISNA(INDEX('Robot Game Scores'!E:E,MATCH(TournamentData[[#This Row],[Team Number]], 'Robot Game Scores'!$B:$B,0))),0,INDEX('Robot Game Scores'!E:E,MATCH(TournamentData[[#This Row],[Team Number]], 'Robot Game Scores'!$B:$B,0))))</f>
        <v/>
      </c>
      <c r="F29" s="42" t="str">
        <f>IF(TournamentData[[#This Row],[Team Number]]="","",IF(ISNA(INDEX('Robot Game Scores'!F:F,MATCH(TournamentData[[#This Row],[Team Number]], 'Robot Game Scores'!$B:$B,0))),0,INDEX('Robot Game Scores'!F:F,MATCH(TournamentData[[#This Row],[Team Number]], 'Robot Game Scores'!$B:$B,0))))</f>
        <v/>
      </c>
      <c r="G29" s="42" t="str">
        <f>IF(TournamentData[[#This Row],[Team Number]]="","",IF(ISNA(INDEX('Robot Game Scores'!G:G,MATCH(TournamentData[[#This Row],[Team Number]], 'Robot Game Scores'!$B:$B,0))),0,INDEX('Robot Game Scores'!G:G,MATCH(TournamentData[[#This Row],[Team Number]], 'Robot Game Scores'!$B:$B,0))))</f>
        <v/>
      </c>
      <c r="H2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29" s="42" t="str">
        <f>IF(TournamentData[[#This Row],[Team Number]]="","",_xlfn.RANK.EQ(TournamentData[[#This Row],[Max Robot Game Score]],TournamentData[Max Robot Game Score]))</f>
        <v/>
      </c>
      <c r="J2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2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2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2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29" s="43" t="str">
        <f>IF(TournamentData[[#This Row],[Team Number]]="","",IF(M29,RANK(M29,M$3:M$110,1)-COUNTIF(M$3:M$110,0),NumberOfTeams+1))</f>
        <v/>
      </c>
      <c r="O29" s="44">
        <f>IF(ISNA(INDEX(CoreValuesResults[Breakthrough Selection],MATCH(TournamentData[[#This Row],[Team Number]],CoreValuesResults[Team Number],0))),0, INDEX(CoreValuesResults[Breakthrough Selection],MATCH(TournamentData[[#This Row],[Team Number]],CoreValuesResults[Team Number],0)))</f>
        <v>0</v>
      </c>
      <c r="P29" s="44">
        <f>IF(ISNA(INDEX(CoreValuesResults[Rising All-Star Selection],MATCH(TournamentData[[#This Row],[Team Number]],CoreValuesResults[Team Number],0))),0, INDEX(CoreValuesResults[Rising All-Star Selection],MATCH(TournamentData[[#This Row],[Team Number]],CoreValuesResults[Team Number],0)))</f>
        <v>0</v>
      </c>
      <c r="Q29" s="44">
        <f>IF(ISNA(INDEX(CoreValuesResults[Motivate Selection],MATCH(TournamentData[[#This Row],[Team Number]],CoreValuesResults[Team Number],0))),0, INDEX(CoreValuesResults[Motivate Selection],MATCH(TournamentData[[#This Row],[Team Number]],CoreValuesResults[Team Number],0)))</f>
        <v>0</v>
      </c>
      <c r="T29" s="46"/>
      <c r="U29" s="40">
        <f>IF(ISNA(INDEX(CoreValuesResults[Core Values Score],MATCH(TournamentData[[#This Row],[Team Number]],CoreValuesResults[Team Number],0))),0,INDEX(CoreValuesResults[Core Values Score],MATCH(TournamentData[[#This Row],[Team Number]],CoreValuesResults[Team Number],0)))</f>
        <v>0</v>
      </c>
      <c r="V2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29" s="40">
        <f>IF(ISNA(INDEX(RobotDesignResults[Robot Design Score],MATCH(TournamentData[[#This Row],[Team Number]],RobotDesignResults[Team Number],0))),0,INDEX(RobotDesignResults[Robot Design Score],MATCH(TournamentData[[#This Row],[Team Number]],RobotDesignResults[Team Number],0)))</f>
        <v>0</v>
      </c>
      <c r="X2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29" s="48">
        <f t="shared" si="0"/>
        <v>0</v>
      </c>
      <c r="AC29" s="72"/>
      <c r="AD29" s="49"/>
      <c r="AE29" s="46"/>
    </row>
    <row r="30" spans="1:31" s="45" customFormat="1" ht="20.25" customHeight="1" x14ac:dyDescent="0.3">
      <c r="A30" s="40"/>
      <c r="B30" s="41" t="str">
        <f>IF(ISNA(INDEX(OfficialTeamList[Team Name],MATCH(TournamentData[[#This Row],[Team Number]], OfficialTeamList[Team Number],0))),"",INDEX(OfficialTeamList[Team Name],MATCH(TournamentData[[#This Row],[Team Number]], OfficialTeamList[Team Number],0)))</f>
        <v/>
      </c>
      <c r="C30" s="42" t="str">
        <f>IF(TournamentData[[#This Row],[Team Number]]="","",IF(ISNA(INDEX('Robot Game Scores'!C:C,MATCH(TournamentData[[#This Row],[Team Number]], 'Robot Game Scores'!$B:$B,0))),0,INDEX('Robot Game Scores'!C:C,MATCH(TournamentData[[#This Row],[Team Number]], 'Robot Game Scores'!$B:$B,0))))</f>
        <v/>
      </c>
      <c r="D30" s="42" t="str">
        <f>IF(TournamentData[[#This Row],[Team Number]]="","",IF(ISNA(INDEX('Robot Game Scores'!D:D,MATCH(TournamentData[[#This Row],[Team Number]], 'Robot Game Scores'!$B:$B,0))),0,INDEX('Robot Game Scores'!D:D,MATCH(TournamentData[[#This Row],[Team Number]], 'Robot Game Scores'!$B:$B,0))))</f>
        <v/>
      </c>
      <c r="E30" s="42" t="str">
        <f>IF(TournamentData[[#This Row],[Team Number]]="","",IF(ISNA(INDEX('Robot Game Scores'!E:E,MATCH(TournamentData[[#This Row],[Team Number]], 'Robot Game Scores'!$B:$B,0))),0,INDEX('Robot Game Scores'!E:E,MATCH(TournamentData[[#This Row],[Team Number]], 'Robot Game Scores'!$B:$B,0))))</f>
        <v/>
      </c>
      <c r="F30" s="42" t="str">
        <f>IF(TournamentData[[#This Row],[Team Number]]="","",IF(ISNA(INDEX('Robot Game Scores'!F:F,MATCH(TournamentData[[#This Row],[Team Number]], 'Robot Game Scores'!$B:$B,0))),0,INDEX('Robot Game Scores'!F:F,MATCH(TournamentData[[#This Row],[Team Number]], 'Robot Game Scores'!$B:$B,0))))</f>
        <v/>
      </c>
      <c r="G30" s="42" t="str">
        <f>IF(TournamentData[[#This Row],[Team Number]]="","",IF(ISNA(INDEX('Robot Game Scores'!G:G,MATCH(TournamentData[[#This Row],[Team Number]], 'Robot Game Scores'!$B:$B,0))),0,INDEX('Robot Game Scores'!G:G,MATCH(TournamentData[[#This Row],[Team Number]], 'Robot Game Scores'!$B:$B,0))))</f>
        <v/>
      </c>
      <c r="H3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0" s="42" t="str">
        <f>IF(TournamentData[[#This Row],[Team Number]]="","",_xlfn.RANK.EQ(TournamentData[[#This Row],[Max Robot Game Score]],TournamentData[Max Robot Game Score]))</f>
        <v/>
      </c>
      <c r="J3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0" s="43" t="str">
        <f>IF(TournamentData[[#This Row],[Team Number]]="","",IF(M30,RANK(M30,M$3:M$110,1)-COUNTIF(M$3:M$110,0),NumberOfTeams+1))</f>
        <v/>
      </c>
      <c r="O30" s="50">
        <f>IF(ISNA(INDEX(CoreValuesResults[Breakthrough Selection],MATCH(TournamentData[[#This Row],[Team Number]],CoreValuesResults[Team Number],0))),0, INDEX(CoreValuesResults[Breakthrough Selection],MATCH(TournamentData[[#This Row],[Team Number]],CoreValuesResults[Team Number],0)))</f>
        <v>0</v>
      </c>
      <c r="P30" s="50">
        <f>IF(ISNA(INDEX(CoreValuesResults[Rising All-Star Selection],MATCH(TournamentData[[#This Row],[Team Number]],CoreValuesResults[Team Number],0))),0, INDEX(CoreValuesResults[Rising All-Star Selection],MATCH(TournamentData[[#This Row],[Team Number]],CoreValuesResults[Team Number],0)))</f>
        <v>0</v>
      </c>
      <c r="Q30" s="50">
        <f>IF(ISNA(INDEX(CoreValuesResults[Motivate Selection],MATCH(TournamentData[[#This Row],[Team Number]],CoreValuesResults[Team Number],0))),0, INDEX(CoreValuesResults[Motivate Selection],MATCH(TournamentData[[#This Row],[Team Number]],CoreValuesResults[Team Number],0)))</f>
        <v>0</v>
      </c>
      <c r="T30" s="46"/>
      <c r="U30" s="40">
        <f>IF(ISNA(INDEX(CoreValuesResults[Core Values Score],MATCH(TournamentData[[#This Row],[Team Number]],CoreValuesResults[Team Number],0))),0,INDEX(CoreValuesResults[Core Values Score],MATCH(TournamentData[[#This Row],[Team Number]],CoreValuesResults[Team Number],0)))</f>
        <v>0</v>
      </c>
      <c r="V3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0" s="40">
        <f>IF(ISNA(INDEX(RobotDesignResults[Robot Design Score],MATCH(TournamentData[[#This Row],[Team Number]],RobotDesignResults[Team Number],0))),0,INDEX(RobotDesignResults[Robot Design Score],MATCH(TournamentData[[#This Row],[Team Number]],RobotDesignResults[Team Number],0)))</f>
        <v>0</v>
      </c>
      <c r="X3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0" s="48">
        <f t="shared" si="0"/>
        <v>0</v>
      </c>
      <c r="AC30" s="72"/>
      <c r="AD30" s="49"/>
      <c r="AE30" s="46"/>
    </row>
    <row r="31" spans="1:31" s="45" customFormat="1" ht="20.25" customHeight="1" x14ac:dyDescent="0.3">
      <c r="A31" s="40"/>
      <c r="B31" s="41" t="str">
        <f>IF(ISNA(INDEX(OfficialTeamList[Team Name],MATCH(TournamentData[[#This Row],[Team Number]], OfficialTeamList[Team Number],0))),"",INDEX(OfficialTeamList[Team Name],MATCH(TournamentData[[#This Row],[Team Number]], OfficialTeamList[Team Number],0)))</f>
        <v/>
      </c>
      <c r="C31" s="42" t="str">
        <f>IF(TournamentData[[#This Row],[Team Number]]="","",IF(ISNA(INDEX('Robot Game Scores'!C:C,MATCH(TournamentData[[#This Row],[Team Number]], 'Robot Game Scores'!$B:$B,0))),0,INDEX('Robot Game Scores'!C:C,MATCH(TournamentData[[#This Row],[Team Number]], 'Robot Game Scores'!$B:$B,0))))</f>
        <v/>
      </c>
      <c r="D31" s="42" t="str">
        <f>IF(TournamentData[[#This Row],[Team Number]]="","",IF(ISNA(INDEX('Robot Game Scores'!D:D,MATCH(TournamentData[[#This Row],[Team Number]], 'Robot Game Scores'!$B:$B,0))),0,INDEX('Robot Game Scores'!D:D,MATCH(TournamentData[[#This Row],[Team Number]], 'Robot Game Scores'!$B:$B,0))))</f>
        <v/>
      </c>
      <c r="E31" s="42" t="str">
        <f>IF(TournamentData[[#This Row],[Team Number]]="","",IF(ISNA(INDEX('Robot Game Scores'!E:E,MATCH(TournamentData[[#This Row],[Team Number]], 'Robot Game Scores'!$B:$B,0))),0,INDEX('Robot Game Scores'!E:E,MATCH(TournamentData[[#This Row],[Team Number]], 'Robot Game Scores'!$B:$B,0))))</f>
        <v/>
      </c>
      <c r="F31" s="42" t="str">
        <f>IF(TournamentData[[#This Row],[Team Number]]="","",IF(ISNA(INDEX('Robot Game Scores'!F:F,MATCH(TournamentData[[#This Row],[Team Number]], 'Robot Game Scores'!$B:$B,0))),0,INDEX('Robot Game Scores'!F:F,MATCH(TournamentData[[#This Row],[Team Number]], 'Robot Game Scores'!$B:$B,0))))</f>
        <v/>
      </c>
      <c r="G31" s="42" t="str">
        <f>IF(TournamentData[[#This Row],[Team Number]]="","",IF(ISNA(INDEX('Robot Game Scores'!G:G,MATCH(TournamentData[[#This Row],[Team Number]], 'Robot Game Scores'!$B:$B,0))),0,INDEX('Robot Game Scores'!G:G,MATCH(TournamentData[[#This Row],[Team Number]], 'Robot Game Scores'!$B:$B,0))))</f>
        <v/>
      </c>
      <c r="H3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1" s="42" t="str">
        <f>IF(TournamentData[[#This Row],[Team Number]]="","",_xlfn.RANK.EQ(TournamentData[[#This Row],[Max Robot Game Score]],TournamentData[Max Robot Game Score]))</f>
        <v/>
      </c>
      <c r="J3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1" s="43" t="str">
        <f>IF(TournamentData[[#This Row],[Team Number]]="","",IF(M31,RANK(M31,M$3:M$110,1)-COUNTIF(M$3:M$110,0),NumberOfTeams+1))</f>
        <v/>
      </c>
      <c r="O31" s="44">
        <f>IF(ISNA(INDEX(CoreValuesResults[Breakthrough Selection],MATCH(TournamentData[[#This Row],[Team Number]],CoreValuesResults[Team Number],0))),0, INDEX(CoreValuesResults[Breakthrough Selection],MATCH(TournamentData[[#This Row],[Team Number]],CoreValuesResults[Team Number],0)))</f>
        <v>0</v>
      </c>
      <c r="P31" s="44">
        <f>IF(ISNA(INDEX(CoreValuesResults[Rising All-Star Selection],MATCH(TournamentData[[#This Row],[Team Number]],CoreValuesResults[Team Number],0))),0, INDEX(CoreValuesResults[Rising All-Star Selection],MATCH(TournamentData[[#This Row],[Team Number]],CoreValuesResults[Team Number],0)))</f>
        <v>0</v>
      </c>
      <c r="Q31" s="44">
        <f>IF(ISNA(INDEX(CoreValuesResults[Motivate Selection],MATCH(TournamentData[[#This Row],[Team Number]],CoreValuesResults[Team Number],0))),0, INDEX(CoreValuesResults[Motivate Selection],MATCH(TournamentData[[#This Row],[Team Number]],CoreValuesResults[Team Number],0)))</f>
        <v>0</v>
      </c>
      <c r="T31" s="46"/>
      <c r="U31" s="40">
        <f>IF(ISNA(INDEX(CoreValuesResults[Core Values Score],MATCH(TournamentData[[#This Row],[Team Number]],CoreValuesResults[Team Number],0))),0,INDEX(CoreValuesResults[Core Values Score],MATCH(TournamentData[[#This Row],[Team Number]],CoreValuesResults[Team Number],0)))</f>
        <v>0</v>
      </c>
      <c r="V3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1" s="40">
        <f>IF(ISNA(INDEX(RobotDesignResults[Robot Design Score],MATCH(TournamentData[[#This Row],[Team Number]],RobotDesignResults[Team Number],0))),0,INDEX(RobotDesignResults[Robot Design Score],MATCH(TournamentData[[#This Row],[Team Number]],RobotDesignResults[Team Number],0)))</f>
        <v>0</v>
      </c>
      <c r="X3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1" s="48">
        <f t="shared" si="0"/>
        <v>0</v>
      </c>
      <c r="AC31" s="72"/>
      <c r="AD31" s="49"/>
      <c r="AE31" s="46"/>
    </row>
    <row r="32" spans="1:31" s="45" customFormat="1" ht="20.25" customHeight="1" x14ac:dyDescent="0.3">
      <c r="A32" s="40"/>
      <c r="B32" s="41" t="str">
        <f>IF(ISNA(INDEX(OfficialTeamList[Team Name],MATCH(TournamentData[[#This Row],[Team Number]], OfficialTeamList[Team Number],0))),"",INDEX(OfficialTeamList[Team Name],MATCH(TournamentData[[#This Row],[Team Number]], OfficialTeamList[Team Number],0)))</f>
        <v/>
      </c>
      <c r="C32" s="42" t="str">
        <f>IF(TournamentData[[#This Row],[Team Number]]="","",IF(ISNA(INDEX('Robot Game Scores'!C:C,MATCH(TournamentData[[#This Row],[Team Number]], 'Robot Game Scores'!$B:$B,0))),0,INDEX('Robot Game Scores'!C:C,MATCH(TournamentData[[#This Row],[Team Number]], 'Robot Game Scores'!$B:$B,0))))</f>
        <v/>
      </c>
      <c r="D32" s="42" t="str">
        <f>IF(TournamentData[[#This Row],[Team Number]]="","",IF(ISNA(INDEX('Robot Game Scores'!D:D,MATCH(TournamentData[[#This Row],[Team Number]], 'Robot Game Scores'!$B:$B,0))),0,INDEX('Robot Game Scores'!D:D,MATCH(TournamentData[[#This Row],[Team Number]], 'Robot Game Scores'!$B:$B,0))))</f>
        <v/>
      </c>
      <c r="E32" s="42" t="str">
        <f>IF(TournamentData[[#This Row],[Team Number]]="","",IF(ISNA(INDEX('Robot Game Scores'!E:E,MATCH(TournamentData[[#This Row],[Team Number]], 'Robot Game Scores'!$B:$B,0))),0,INDEX('Robot Game Scores'!E:E,MATCH(TournamentData[[#This Row],[Team Number]], 'Robot Game Scores'!$B:$B,0))))</f>
        <v/>
      </c>
      <c r="F32" s="42" t="str">
        <f>IF(TournamentData[[#This Row],[Team Number]]="","",IF(ISNA(INDEX('Robot Game Scores'!F:F,MATCH(TournamentData[[#This Row],[Team Number]], 'Robot Game Scores'!$B:$B,0))),0,INDEX('Robot Game Scores'!F:F,MATCH(TournamentData[[#This Row],[Team Number]], 'Robot Game Scores'!$B:$B,0))))</f>
        <v/>
      </c>
      <c r="G32" s="42" t="str">
        <f>IF(TournamentData[[#This Row],[Team Number]]="","",IF(ISNA(INDEX('Robot Game Scores'!G:G,MATCH(TournamentData[[#This Row],[Team Number]], 'Robot Game Scores'!$B:$B,0))),0,INDEX('Robot Game Scores'!G:G,MATCH(TournamentData[[#This Row],[Team Number]], 'Robot Game Scores'!$B:$B,0))))</f>
        <v/>
      </c>
      <c r="H3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2" s="42" t="str">
        <f>IF(TournamentData[[#This Row],[Team Number]]="","",_xlfn.RANK.EQ(TournamentData[[#This Row],[Max Robot Game Score]],TournamentData[Max Robot Game Score]))</f>
        <v/>
      </c>
      <c r="J3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2" s="43" t="str">
        <f>IF(TournamentData[[#This Row],[Team Number]]="","",IF(M32,RANK(M32,M$3:M$110,1)-COUNTIF(M$3:M$110,0),NumberOfTeams+1))</f>
        <v/>
      </c>
      <c r="O32" s="44">
        <f>IF(ISNA(INDEX(CoreValuesResults[Breakthrough Selection],MATCH(TournamentData[[#This Row],[Team Number]],CoreValuesResults[Team Number],0))),0, INDEX(CoreValuesResults[Breakthrough Selection],MATCH(TournamentData[[#This Row],[Team Number]],CoreValuesResults[Team Number],0)))</f>
        <v>0</v>
      </c>
      <c r="P32" s="44">
        <f>IF(ISNA(INDEX(CoreValuesResults[Rising All-Star Selection],MATCH(TournamentData[[#This Row],[Team Number]],CoreValuesResults[Team Number],0))),0, INDEX(CoreValuesResults[Rising All-Star Selection],MATCH(TournamentData[[#This Row],[Team Number]],CoreValuesResults[Team Number],0)))</f>
        <v>0</v>
      </c>
      <c r="Q32" s="44">
        <f>IF(ISNA(INDEX(CoreValuesResults[Motivate Selection],MATCH(TournamentData[[#This Row],[Team Number]],CoreValuesResults[Team Number],0))),0, INDEX(CoreValuesResults[Motivate Selection],MATCH(TournamentData[[#This Row],[Team Number]],CoreValuesResults[Team Number],0)))</f>
        <v>0</v>
      </c>
      <c r="T32" s="46"/>
      <c r="U32" s="40">
        <f>IF(ISNA(INDEX(CoreValuesResults[Core Values Score],MATCH(TournamentData[[#This Row],[Team Number]],CoreValuesResults[Team Number],0))),0,INDEX(CoreValuesResults[Core Values Score],MATCH(TournamentData[[#This Row],[Team Number]],CoreValuesResults[Team Number],0)))</f>
        <v>0</v>
      </c>
      <c r="V3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2" s="40">
        <f>IF(ISNA(INDEX(RobotDesignResults[Robot Design Score],MATCH(TournamentData[[#This Row],[Team Number]],RobotDesignResults[Team Number],0))),0,INDEX(RobotDesignResults[Robot Design Score],MATCH(TournamentData[[#This Row],[Team Number]],RobotDesignResults[Team Number],0)))</f>
        <v>0</v>
      </c>
      <c r="X3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2" s="48">
        <f t="shared" si="0"/>
        <v>0</v>
      </c>
      <c r="AC32" s="72"/>
      <c r="AD32" s="49"/>
      <c r="AE32" s="46"/>
    </row>
    <row r="33" spans="1:31" s="45" customFormat="1" ht="20.25" customHeight="1" x14ac:dyDescent="0.3">
      <c r="A33" s="40"/>
      <c r="B33" s="41" t="str">
        <f>IF(ISNA(INDEX(OfficialTeamList[Team Name],MATCH(TournamentData[[#This Row],[Team Number]], OfficialTeamList[Team Number],0))),"",INDEX(OfficialTeamList[Team Name],MATCH(TournamentData[[#This Row],[Team Number]], OfficialTeamList[Team Number],0)))</f>
        <v/>
      </c>
      <c r="C33" s="42" t="str">
        <f>IF(TournamentData[[#This Row],[Team Number]]="","",IF(ISNA(INDEX('Robot Game Scores'!C:C,MATCH(TournamentData[[#This Row],[Team Number]], 'Robot Game Scores'!$B:$B,0))),0,INDEX('Robot Game Scores'!C:C,MATCH(TournamentData[[#This Row],[Team Number]], 'Robot Game Scores'!$B:$B,0))))</f>
        <v/>
      </c>
      <c r="D33" s="42" t="str">
        <f>IF(TournamentData[[#This Row],[Team Number]]="","",IF(ISNA(INDEX('Robot Game Scores'!D:D,MATCH(TournamentData[[#This Row],[Team Number]], 'Robot Game Scores'!$B:$B,0))),0,INDEX('Robot Game Scores'!D:D,MATCH(TournamentData[[#This Row],[Team Number]], 'Robot Game Scores'!$B:$B,0))))</f>
        <v/>
      </c>
      <c r="E33" s="42" t="str">
        <f>IF(TournamentData[[#This Row],[Team Number]]="","",IF(ISNA(INDEX('Robot Game Scores'!E:E,MATCH(TournamentData[[#This Row],[Team Number]], 'Robot Game Scores'!$B:$B,0))),0,INDEX('Robot Game Scores'!E:E,MATCH(TournamentData[[#This Row],[Team Number]], 'Robot Game Scores'!$B:$B,0))))</f>
        <v/>
      </c>
      <c r="F33" s="42" t="str">
        <f>IF(TournamentData[[#This Row],[Team Number]]="","",IF(ISNA(INDEX('Robot Game Scores'!F:F,MATCH(TournamentData[[#This Row],[Team Number]], 'Robot Game Scores'!$B:$B,0))),0,INDEX('Robot Game Scores'!F:F,MATCH(TournamentData[[#This Row],[Team Number]], 'Robot Game Scores'!$B:$B,0))))</f>
        <v/>
      </c>
      <c r="G33" s="42" t="str">
        <f>IF(TournamentData[[#This Row],[Team Number]]="","",IF(ISNA(INDEX('Robot Game Scores'!G:G,MATCH(TournamentData[[#This Row],[Team Number]], 'Robot Game Scores'!$B:$B,0))),0,INDEX('Robot Game Scores'!G:G,MATCH(TournamentData[[#This Row],[Team Number]], 'Robot Game Scores'!$B:$B,0))))</f>
        <v/>
      </c>
      <c r="H3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3" s="42" t="str">
        <f>IF(TournamentData[[#This Row],[Team Number]]="","",_xlfn.RANK.EQ(TournamentData[[#This Row],[Max Robot Game Score]],TournamentData[Max Robot Game Score]))</f>
        <v/>
      </c>
      <c r="J3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3" s="43" t="str">
        <f>IF(TournamentData[[#This Row],[Team Number]]="","",IF(M33,RANK(M33,M$3:M$110,1)-COUNTIF(M$3:M$110,0),NumberOfTeams+1))</f>
        <v/>
      </c>
      <c r="O33" s="44">
        <f>IF(ISNA(INDEX(CoreValuesResults[Breakthrough Selection],MATCH(TournamentData[[#This Row],[Team Number]],CoreValuesResults[Team Number],0))),0, INDEX(CoreValuesResults[Breakthrough Selection],MATCH(TournamentData[[#This Row],[Team Number]],CoreValuesResults[Team Number],0)))</f>
        <v>0</v>
      </c>
      <c r="P33" s="44">
        <f>IF(ISNA(INDEX(CoreValuesResults[Rising All-Star Selection],MATCH(TournamentData[[#This Row],[Team Number]],CoreValuesResults[Team Number],0))),0, INDEX(CoreValuesResults[Rising All-Star Selection],MATCH(TournamentData[[#This Row],[Team Number]],CoreValuesResults[Team Number],0)))</f>
        <v>0</v>
      </c>
      <c r="Q33" s="44">
        <f>IF(ISNA(INDEX(CoreValuesResults[Motivate Selection],MATCH(TournamentData[[#This Row],[Team Number]],CoreValuesResults[Team Number],0))),0, INDEX(CoreValuesResults[Motivate Selection],MATCH(TournamentData[[#This Row],[Team Number]],CoreValuesResults[Team Number],0)))</f>
        <v>0</v>
      </c>
      <c r="T33" s="46"/>
      <c r="U33" s="40">
        <f>IF(ISNA(INDEX(CoreValuesResults[Core Values Score],MATCH(TournamentData[[#This Row],[Team Number]],CoreValuesResults[Team Number],0))),0,INDEX(CoreValuesResults[Core Values Score],MATCH(TournamentData[[#This Row],[Team Number]],CoreValuesResults[Team Number],0)))</f>
        <v>0</v>
      </c>
      <c r="V3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3" s="40">
        <f>IF(ISNA(INDEX(RobotDesignResults[Robot Design Score],MATCH(TournamentData[[#This Row],[Team Number]],RobotDesignResults[Team Number],0))),0,INDEX(RobotDesignResults[Robot Design Score],MATCH(TournamentData[[#This Row],[Team Number]],RobotDesignResults[Team Number],0)))</f>
        <v>0</v>
      </c>
      <c r="X3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3" s="48">
        <f t="shared" si="0"/>
        <v>0</v>
      </c>
      <c r="AC33" s="72"/>
      <c r="AD33" s="49"/>
      <c r="AE33" s="46"/>
    </row>
    <row r="34" spans="1:31" s="45" customFormat="1" ht="20.25" customHeight="1" x14ac:dyDescent="0.3">
      <c r="A34" s="40"/>
      <c r="B34" s="41" t="str">
        <f>IF(ISNA(INDEX(OfficialTeamList[Team Name],MATCH(TournamentData[[#This Row],[Team Number]], OfficialTeamList[Team Number],0))),"",INDEX(OfficialTeamList[Team Name],MATCH(TournamentData[[#This Row],[Team Number]], OfficialTeamList[Team Number],0)))</f>
        <v/>
      </c>
      <c r="C34" s="42" t="str">
        <f>IF(TournamentData[[#This Row],[Team Number]]="","",IF(ISNA(INDEX('Robot Game Scores'!C:C,MATCH(TournamentData[[#This Row],[Team Number]], 'Robot Game Scores'!$B:$B,0))),0,INDEX('Robot Game Scores'!C:C,MATCH(TournamentData[[#This Row],[Team Number]], 'Robot Game Scores'!$B:$B,0))))</f>
        <v/>
      </c>
      <c r="D34" s="42" t="str">
        <f>IF(TournamentData[[#This Row],[Team Number]]="","",IF(ISNA(INDEX('Robot Game Scores'!D:D,MATCH(TournamentData[[#This Row],[Team Number]], 'Robot Game Scores'!$B:$B,0))),0,INDEX('Robot Game Scores'!D:D,MATCH(TournamentData[[#This Row],[Team Number]], 'Robot Game Scores'!$B:$B,0))))</f>
        <v/>
      </c>
      <c r="E34" s="42" t="str">
        <f>IF(TournamentData[[#This Row],[Team Number]]="","",IF(ISNA(INDEX('Robot Game Scores'!E:E,MATCH(TournamentData[[#This Row],[Team Number]], 'Robot Game Scores'!$B:$B,0))),0,INDEX('Robot Game Scores'!E:E,MATCH(TournamentData[[#This Row],[Team Number]], 'Robot Game Scores'!$B:$B,0))))</f>
        <v/>
      </c>
      <c r="F34" s="42" t="str">
        <f>IF(TournamentData[[#This Row],[Team Number]]="","",IF(ISNA(INDEX('Robot Game Scores'!F:F,MATCH(TournamentData[[#This Row],[Team Number]], 'Robot Game Scores'!$B:$B,0))),0,INDEX('Robot Game Scores'!F:F,MATCH(TournamentData[[#This Row],[Team Number]], 'Robot Game Scores'!$B:$B,0))))</f>
        <v/>
      </c>
      <c r="G34" s="42" t="str">
        <f>IF(TournamentData[[#This Row],[Team Number]]="","",IF(ISNA(INDEX('Robot Game Scores'!G:G,MATCH(TournamentData[[#This Row],[Team Number]], 'Robot Game Scores'!$B:$B,0))),0,INDEX('Robot Game Scores'!G:G,MATCH(TournamentData[[#This Row],[Team Number]], 'Robot Game Scores'!$B:$B,0))))</f>
        <v/>
      </c>
      <c r="H3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4" s="42" t="str">
        <f>IF(TournamentData[[#This Row],[Team Number]]="","",_xlfn.RANK.EQ(TournamentData[[#This Row],[Max Robot Game Score]],TournamentData[Max Robot Game Score]))</f>
        <v/>
      </c>
      <c r="J3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4" s="43" t="str">
        <f>IF(TournamentData[[#This Row],[Team Number]]="","",IF(M34,RANK(M34,M$3:M$110,1)-COUNTIF(M$3:M$110,0),NumberOfTeams+1))</f>
        <v/>
      </c>
      <c r="O34" s="44">
        <f>IF(ISNA(INDEX(CoreValuesResults[Breakthrough Selection],MATCH(TournamentData[[#This Row],[Team Number]],CoreValuesResults[Team Number],0))),0, INDEX(CoreValuesResults[Breakthrough Selection],MATCH(TournamentData[[#This Row],[Team Number]],CoreValuesResults[Team Number],0)))</f>
        <v>0</v>
      </c>
      <c r="P34" s="44">
        <f>IF(ISNA(INDEX(CoreValuesResults[Rising All-Star Selection],MATCH(TournamentData[[#This Row],[Team Number]],CoreValuesResults[Team Number],0))),0, INDEX(CoreValuesResults[Rising All-Star Selection],MATCH(TournamentData[[#This Row],[Team Number]],CoreValuesResults[Team Number],0)))</f>
        <v>0</v>
      </c>
      <c r="Q34" s="44">
        <f>IF(ISNA(INDEX(CoreValuesResults[Motivate Selection],MATCH(TournamentData[[#This Row],[Team Number]],CoreValuesResults[Team Number],0))),0, INDEX(CoreValuesResults[Motivate Selection],MATCH(TournamentData[[#This Row],[Team Number]],CoreValuesResults[Team Number],0)))</f>
        <v>0</v>
      </c>
      <c r="T34" s="46"/>
      <c r="U34" s="40">
        <f>IF(ISNA(INDEX(CoreValuesResults[Core Values Score],MATCH(TournamentData[[#This Row],[Team Number]],CoreValuesResults[Team Number],0))),0,INDEX(CoreValuesResults[Core Values Score],MATCH(TournamentData[[#This Row],[Team Number]],CoreValuesResults[Team Number],0)))</f>
        <v>0</v>
      </c>
      <c r="V3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4" s="40">
        <f>IF(ISNA(INDEX(RobotDesignResults[Robot Design Score],MATCH(TournamentData[[#This Row],[Team Number]],RobotDesignResults[Team Number],0))),0,INDEX(RobotDesignResults[Robot Design Score],MATCH(TournamentData[[#This Row],[Team Number]],RobotDesignResults[Team Number],0)))</f>
        <v>0</v>
      </c>
      <c r="X3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4" s="48">
        <f t="shared" si="0"/>
        <v>0</v>
      </c>
      <c r="AC34" s="72"/>
      <c r="AD34" s="49"/>
      <c r="AE34" s="46"/>
    </row>
    <row r="35" spans="1:31" s="45" customFormat="1" ht="20.25" customHeight="1" x14ac:dyDescent="0.3">
      <c r="A35" s="40"/>
      <c r="B35" s="41" t="str">
        <f>IF(ISNA(INDEX(OfficialTeamList[Team Name],MATCH(TournamentData[[#This Row],[Team Number]], OfficialTeamList[Team Number],0))),"",INDEX(OfficialTeamList[Team Name],MATCH(TournamentData[[#This Row],[Team Number]], OfficialTeamList[Team Number],0)))</f>
        <v/>
      </c>
      <c r="C35" s="42" t="str">
        <f>IF(TournamentData[[#This Row],[Team Number]]="","",IF(ISNA(INDEX('Robot Game Scores'!C:C,MATCH(TournamentData[[#This Row],[Team Number]], 'Robot Game Scores'!$B:$B,0))),0,INDEX('Robot Game Scores'!C:C,MATCH(TournamentData[[#This Row],[Team Number]], 'Robot Game Scores'!$B:$B,0))))</f>
        <v/>
      </c>
      <c r="D35" s="42" t="str">
        <f>IF(TournamentData[[#This Row],[Team Number]]="","",IF(ISNA(INDEX('Robot Game Scores'!D:D,MATCH(TournamentData[[#This Row],[Team Number]], 'Robot Game Scores'!$B:$B,0))),0,INDEX('Robot Game Scores'!D:D,MATCH(TournamentData[[#This Row],[Team Number]], 'Robot Game Scores'!$B:$B,0))))</f>
        <v/>
      </c>
      <c r="E35" s="42" t="str">
        <f>IF(TournamentData[[#This Row],[Team Number]]="","",IF(ISNA(INDEX('Robot Game Scores'!E:E,MATCH(TournamentData[[#This Row],[Team Number]], 'Robot Game Scores'!$B:$B,0))),0,INDEX('Robot Game Scores'!E:E,MATCH(TournamentData[[#This Row],[Team Number]], 'Robot Game Scores'!$B:$B,0))))</f>
        <v/>
      </c>
      <c r="F35" s="42" t="str">
        <f>IF(TournamentData[[#This Row],[Team Number]]="","",IF(ISNA(INDEX('Robot Game Scores'!F:F,MATCH(TournamentData[[#This Row],[Team Number]], 'Robot Game Scores'!$B:$B,0))),0,INDEX('Robot Game Scores'!F:F,MATCH(TournamentData[[#This Row],[Team Number]], 'Robot Game Scores'!$B:$B,0))))</f>
        <v/>
      </c>
      <c r="G35" s="42" t="str">
        <f>IF(TournamentData[[#This Row],[Team Number]]="","",IF(ISNA(INDEX('Robot Game Scores'!G:G,MATCH(TournamentData[[#This Row],[Team Number]], 'Robot Game Scores'!$B:$B,0))),0,INDEX('Robot Game Scores'!G:G,MATCH(TournamentData[[#This Row],[Team Number]], 'Robot Game Scores'!$B:$B,0))))</f>
        <v/>
      </c>
      <c r="H3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5" s="42" t="str">
        <f>IF(TournamentData[[#This Row],[Team Number]]="","",_xlfn.RANK.EQ(TournamentData[[#This Row],[Max Robot Game Score]],TournamentData[Max Robot Game Score]))</f>
        <v/>
      </c>
      <c r="J3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5" s="43" t="str">
        <f>IF(TournamentData[[#This Row],[Team Number]]="","",IF(M35,RANK(M35,M$3:M$110,1)-COUNTIF(M$3:M$110,0),NumberOfTeams+1))</f>
        <v/>
      </c>
      <c r="O35" s="44">
        <f>IF(ISNA(INDEX(CoreValuesResults[Breakthrough Selection],MATCH(TournamentData[[#This Row],[Team Number]],CoreValuesResults[Team Number],0))),0, INDEX(CoreValuesResults[Breakthrough Selection],MATCH(TournamentData[[#This Row],[Team Number]],CoreValuesResults[Team Number],0)))</f>
        <v>0</v>
      </c>
      <c r="P35" s="44">
        <f>IF(ISNA(INDEX(CoreValuesResults[Rising All-Star Selection],MATCH(TournamentData[[#This Row],[Team Number]],CoreValuesResults[Team Number],0))),0, INDEX(CoreValuesResults[Rising All-Star Selection],MATCH(TournamentData[[#This Row],[Team Number]],CoreValuesResults[Team Number],0)))</f>
        <v>0</v>
      </c>
      <c r="Q35" s="44">
        <f>IF(ISNA(INDEX(CoreValuesResults[Motivate Selection],MATCH(TournamentData[[#This Row],[Team Number]],CoreValuesResults[Team Number],0))),0, INDEX(CoreValuesResults[Motivate Selection],MATCH(TournamentData[[#This Row],[Team Number]],CoreValuesResults[Team Number],0)))</f>
        <v>0</v>
      </c>
      <c r="T35" s="46"/>
      <c r="U35" s="40">
        <f>IF(ISNA(INDEX(CoreValuesResults[Core Values Score],MATCH(TournamentData[[#This Row],[Team Number]],CoreValuesResults[Team Number],0))),0,INDEX(CoreValuesResults[Core Values Score],MATCH(TournamentData[[#This Row],[Team Number]],CoreValuesResults[Team Number],0)))</f>
        <v>0</v>
      </c>
      <c r="V3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5" s="40">
        <f>IF(ISNA(INDEX(RobotDesignResults[Robot Design Score],MATCH(TournamentData[[#This Row],[Team Number]],RobotDesignResults[Team Number],0))),0,INDEX(RobotDesignResults[Robot Design Score],MATCH(TournamentData[[#This Row],[Team Number]],RobotDesignResults[Team Number],0)))</f>
        <v>0</v>
      </c>
      <c r="X3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5" s="48">
        <f t="shared" ref="Y35:Y66" si="1">IF(X35,_xlfn.RANK.EQ(X35,X$3:X$110,0),NumberOfTeams)</f>
        <v>0</v>
      </c>
      <c r="AC35" s="72"/>
      <c r="AD35" s="49"/>
      <c r="AE35" s="46"/>
    </row>
    <row r="36" spans="1:31" s="45" customFormat="1" ht="20.25" customHeight="1" x14ac:dyDescent="0.3">
      <c r="A36" s="40"/>
      <c r="B36" s="41" t="str">
        <f>IF(ISNA(INDEX(OfficialTeamList[Team Name],MATCH(TournamentData[[#This Row],[Team Number]], OfficialTeamList[Team Number],0))),"",INDEX(OfficialTeamList[Team Name],MATCH(TournamentData[[#This Row],[Team Number]], OfficialTeamList[Team Number],0)))</f>
        <v/>
      </c>
      <c r="C36" s="42" t="str">
        <f>IF(TournamentData[[#This Row],[Team Number]]="","",IF(ISNA(INDEX('Robot Game Scores'!C:C,MATCH(TournamentData[[#This Row],[Team Number]], 'Robot Game Scores'!$B:$B,0))),0,INDEX('Robot Game Scores'!C:C,MATCH(TournamentData[[#This Row],[Team Number]], 'Robot Game Scores'!$B:$B,0))))</f>
        <v/>
      </c>
      <c r="D36" s="42" t="str">
        <f>IF(TournamentData[[#This Row],[Team Number]]="","",IF(ISNA(INDEX('Robot Game Scores'!D:D,MATCH(TournamentData[[#This Row],[Team Number]], 'Robot Game Scores'!$B:$B,0))),0,INDEX('Robot Game Scores'!D:D,MATCH(TournamentData[[#This Row],[Team Number]], 'Robot Game Scores'!$B:$B,0))))</f>
        <v/>
      </c>
      <c r="E36" s="42" t="str">
        <f>IF(TournamentData[[#This Row],[Team Number]]="","",IF(ISNA(INDEX('Robot Game Scores'!E:E,MATCH(TournamentData[[#This Row],[Team Number]], 'Robot Game Scores'!$B:$B,0))),0,INDEX('Robot Game Scores'!E:E,MATCH(TournamentData[[#This Row],[Team Number]], 'Robot Game Scores'!$B:$B,0))))</f>
        <v/>
      </c>
      <c r="F36" s="42" t="str">
        <f>IF(TournamentData[[#This Row],[Team Number]]="","",IF(ISNA(INDEX('Robot Game Scores'!F:F,MATCH(TournamentData[[#This Row],[Team Number]], 'Robot Game Scores'!$B:$B,0))),0,INDEX('Robot Game Scores'!F:F,MATCH(TournamentData[[#This Row],[Team Number]], 'Robot Game Scores'!$B:$B,0))))</f>
        <v/>
      </c>
      <c r="G36" s="42" t="str">
        <f>IF(TournamentData[[#This Row],[Team Number]]="","",IF(ISNA(INDEX('Robot Game Scores'!G:G,MATCH(TournamentData[[#This Row],[Team Number]], 'Robot Game Scores'!$B:$B,0))),0,INDEX('Robot Game Scores'!G:G,MATCH(TournamentData[[#This Row],[Team Number]], 'Robot Game Scores'!$B:$B,0))))</f>
        <v/>
      </c>
      <c r="H3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6" s="42" t="str">
        <f>IF(TournamentData[[#This Row],[Team Number]]="","",_xlfn.RANK.EQ(TournamentData[[#This Row],[Max Robot Game Score]],TournamentData[Max Robot Game Score]))</f>
        <v/>
      </c>
      <c r="J3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6" s="43" t="str">
        <f>IF(TournamentData[[#This Row],[Team Number]]="","",IF(M36,RANK(M36,M$3:M$110,1)-COUNTIF(M$3:M$110,0),NumberOfTeams+1))</f>
        <v/>
      </c>
      <c r="O36" s="50">
        <f>IF(ISNA(INDEX(CoreValuesResults[Breakthrough Selection],MATCH(TournamentData[[#This Row],[Team Number]],CoreValuesResults[Team Number],0))),0, INDEX(CoreValuesResults[Breakthrough Selection],MATCH(TournamentData[[#This Row],[Team Number]],CoreValuesResults[Team Number],0)))</f>
        <v>0</v>
      </c>
      <c r="P36" s="50">
        <f>IF(ISNA(INDEX(CoreValuesResults[Rising All-Star Selection],MATCH(TournamentData[[#This Row],[Team Number]],CoreValuesResults[Team Number],0))),0, INDEX(CoreValuesResults[Rising All-Star Selection],MATCH(TournamentData[[#This Row],[Team Number]],CoreValuesResults[Team Number],0)))</f>
        <v>0</v>
      </c>
      <c r="Q36" s="50">
        <f>IF(ISNA(INDEX(CoreValuesResults[Motivate Selection],MATCH(TournamentData[[#This Row],[Team Number]],CoreValuesResults[Team Number],0))),0, INDEX(CoreValuesResults[Motivate Selection],MATCH(TournamentData[[#This Row],[Team Number]],CoreValuesResults[Team Number],0)))</f>
        <v>0</v>
      </c>
      <c r="T36" s="46"/>
      <c r="U36" s="40">
        <f>IF(ISNA(INDEX(CoreValuesResults[Core Values Score],MATCH(TournamentData[[#This Row],[Team Number]],CoreValuesResults[Team Number],0))),0,INDEX(CoreValuesResults[Core Values Score],MATCH(TournamentData[[#This Row],[Team Number]],CoreValuesResults[Team Number],0)))</f>
        <v>0</v>
      </c>
      <c r="V3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6" s="40">
        <f>IF(ISNA(INDEX(RobotDesignResults[Robot Design Score],MATCH(TournamentData[[#This Row],[Team Number]],RobotDesignResults[Team Number],0))),0,INDEX(RobotDesignResults[Robot Design Score],MATCH(TournamentData[[#This Row],[Team Number]],RobotDesignResults[Team Number],0)))</f>
        <v>0</v>
      </c>
      <c r="X3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6" s="48">
        <f t="shared" si="1"/>
        <v>0</v>
      </c>
      <c r="AC36" s="72"/>
      <c r="AD36" s="49"/>
      <c r="AE36" s="46"/>
    </row>
    <row r="37" spans="1:31" s="45" customFormat="1" ht="20.25" customHeight="1" x14ac:dyDescent="0.3">
      <c r="A37" s="40"/>
      <c r="B37" s="41" t="str">
        <f>IF(ISNA(INDEX(OfficialTeamList[Team Name],MATCH(TournamentData[[#This Row],[Team Number]], OfficialTeamList[Team Number],0))),"",INDEX(OfficialTeamList[Team Name],MATCH(TournamentData[[#This Row],[Team Number]], OfficialTeamList[Team Number],0)))</f>
        <v/>
      </c>
      <c r="C37" s="42" t="str">
        <f>IF(TournamentData[[#This Row],[Team Number]]="","",IF(ISNA(INDEX('Robot Game Scores'!C:C,MATCH(TournamentData[[#This Row],[Team Number]], 'Robot Game Scores'!$B:$B,0))),0,INDEX('Robot Game Scores'!C:C,MATCH(TournamentData[[#This Row],[Team Number]], 'Robot Game Scores'!$B:$B,0))))</f>
        <v/>
      </c>
      <c r="D37" s="42" t="str">
        <f>IF(TournamentData[[#This Row],[Team Number]]="","",IF(ISNA(INDEX('Robot Game Scores'!D:D,MATCH(TournamentData[[#This Row],[Team Number]], 'Robot Game Scores'!$B:$B,0))),0,INDEX('Robot Game Scores'!D:D,MATCH(TournamentData[[#This Row],[Team Number]], 'Robot Game Scores'!$B:$B,0))))</f>
        <v/>
      </c>
      <c r="E37" s="42" t="str">
        <f>IF(TournamentData[[#This Row],[Team Number]]="","",IF(ISNA(INDEX('Robot Game Scores'!E:E,MATCH(TournamentData[[#This Row],[Team Number]], 'Robot Game Scores'!$B:$B,0))),0,INDEX('Robot Game Scores'!E:E,MATCH(TournamentData[[#This Row],[Team Number]], 'Robot Game Scores'!$B:$B,0))))</f>
        <v/>
      </c>
      <c r="F37" s="42" t="str">
        <f>IF(TournamentData[[#This Row],[Team Number]]="","",IF(ISNA(INDEX('Robot Game Scores'!F:F,MATCH(TournamentData[[#This Row],[Team Number]], 'Robot Game Scores'!$B:$B,0))),0,INDEX('Robot Game Scores'!F:F,MATCH(TournamentData[[#This Row],[Team Number]], 'Robot Game Scores'!$B:$B,0))))</f>
        <v/>
      </c>
      <c r="G37" s="42" t="str">
        <f>IF(TournamentData[[#This Row],[Team Number]]="","",IF(ISNA(INDEX('Robot Game Scores'!G:G,MATCH(TournamentData[[#This Row],[Team Number]], 'Robot Game Scores'!$B:$B,0))),0,INDEX('Robot Game Scores'!G:G,MATCH(TournamentData[[#This Row],[Team Number]], 'Robot Game Scores'!$B:$B,0))))</f>
        <v/>
      </c>
      <c r="H3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7" s="42" t="str">
        <f>IF(TournamentData[[#This Row],[Team Number]]="","",_xlfn.RANK.EQ(TournamentData[[#This Row],[Max Robot Game Score]],TournamentData[Max Robot Game Score]))</f>
        <v/>
      </c>
      <c r="J3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7" s="43" t="str">
        <f>IF(TournamentData[[#This Row],[Team Number]]="","",IF(M37,RANK(M37,M$3:M$110,1)-COUNTIF(M$3:M$110,0),NumberOfTeams+1))</f>
        <v/>
      </c>
      <c r="O37" s="44">
        <f>IF(ISNA(INDEX(CoreValuesResults[Breakthrough Selection],MATCH(TournamentData[[#This Row],[Team Number]],CoreValuesResults[Team Number],0))),0, INDEX(CoreValuesResults[Breakthrough Selection],MATCH(TournamentData[[#This Row],[Team Number]],CoreValuesResults[Team Number],0)))</f>
        <v>0</v>
      </c>
      <c r="P37" s="44">
        <f>IF(ISNA(INDEX(CoreValuesResults[Rising All-Star Selection],MATCH(TournamentData[[#This Row],[Team Number]],CoreValuesResults[Team Number],0))),0, INDEX(CoreValuesResults[Rising All-Star Selection],MATCH(TournamentData[[#This Row],[Team Number]],CoreValuesResults[Team Number],0)))</f>
        <v>0</v>
      </c>
      <c r="Q37" s="44">
        <f>IF(ISNA(INDEX(CoreValuesResults[Motivate Selection],MATCH(TournamentData[[#This Row],[Team Number]],CoreValuesResults[Team Number],0))),0, INDEX(CoreValuesResults[Motivate Selection],MATCH(TournamentData[[#This Row],[Team Number]],CoreValuesResults[Team Number],0)))</f>
        <v>0</v>
      </c>
      <c r="T37" s="46"/>
      <c r="U37" s="40">
        <f>IF(ISNA(INDEX(CoreValuesResults[Core Values Score],MATCH(TournamentData[[#This Row],[Team Number]],CoreValuesResults[Team Number],0))),0,INDEX(CoreValuesResults[Core Values Score],MATCH(TournamentData[[#This Row],[Team Number]],CoreValuesResults[Team Number],0)))</f>
        <v>0</v>
      </c>
      <c r="V3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7" s="40">
        <f>IF(ISNA(INDEX(RobotDesignResults[Robot Design Score],MATCH(TournamentData[[#This Row],[Team Number]],RobotDesignResults[Team Number],0))),0,INDEX(RobotDesignResults[Robot Design Score],MATCH(TournamentData[[#This Row],[Team Number]],RobotDesignResults[Team Number],0)))</f>
        <v>0</v>
      </c>
      <c r="X3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7" s="48">
        <f t="shared" si="1"/>
        <v>0</v>
      </c>
      <c r="AC37" s="72"/>
      <c r="AD37" s="49"/>
      <c r="AE37" s="46"/>
    </row>
    <row r="38" spans="1:31" s="45" customFormat="1" ht="20.25" customHeight="1" x14ac:dyDescent="0.3">
      <c r="A38" s="40"/>
      <c r="B38" s="41" t="str">
        <f>IF(ISNA(INDEX(OfficialTeamList[Team Name],MATCH(TournamentData[[#This Row],[Team Number]], OfficialTeamList[Team Number],0))),"",INDEX(OfficialTeamList[Team Name],MATCH(TournamentData[[#This Row],[Team Number]], OfficialTeamList[Team Number],0)))</f>
        <v/>
      </c>
      <c r="C38" s="42" t="str">
        <f>IF(TournamentData[[#This Row],[Team Number]]="","",IF(ISNA(INDEX('Robot Game Scores'!C:C,MATCH(TournamentData[[#This Row],[Team Number]], 'Robot Game Scores'!$B:$B,0))),0,INDEX('Robot Game Scores'!C:C,MATCH(TournamentData[[#This Row],[Team Number]], 'Robot Game Scores'!$B:$B,0))))</f>
        <v/>
      </c>
      <c r="D38" s="42" t="str">
        <f>IF(TournamentData[[#This Row],[Team Number]]="","",IF(ISNA(INDEX('Robot Game Scores'!D:D,MATCH(TournamentData[[#This Row],[Team Number]], 'Robot Game Scores'!$B:$B,0))),0,INDEX('Robot Game Scores'!D:D,MATCH(TournamentData[[#This Row],[Team Number]], 'Robot Game Scores'!$B:$B,0))))</f>
        <v/>
      </c>
      <c r="E38" s="42" t="str">
        <f>IF(TournamentData[[#This Row],[Team Number]]="","",IF(ISNA(INDEX('Robot Game Scores'!E:E,MATCH(TournamentData[[#This Row],[Team Number]], 'Robot Game Scores'!$B:$B,0))),0,INDEX('Robot Game Scores'!E:E,MATCH(TournamentData[[#This Row],[Team Number]], 'Robot Game Scores'!$B:$B,0))))</f>
        <v/>
      </c>
      <c r="F38" s="42" t="str">
        <f>IF(TournamentData[[#This Row],[Team Number]]="","",IF(ISNA(INDEX('Robot Game Scores'!F:F,MATCH(TournamentData[[#This Row],[Team Number]], 'Robot Game Scores'!$B:$B,0))),0,INDEX('Robot Game Scores'!F:F,MATCH(TournamentData[[#This Row],[Team Number]], 'Robot Game Scores'!$B:$B,0))))</f>
        <v/>
      </c>
      <c r="G38" s="42" t="str">
        <f>IF(TournamentData[[#This Row],[Team Number]]="","",IF(ISNA(INDEX('Robot Game Scores'!G:G,MATCH(TournamentData[[#This Row],[Team Number]], 'Robot Game Scores'!$B:$B,0))),0,INDEX('Robot Game Scores'!G:G,MATCH(TournamentData[[#This Row],[Team Number]], 'Robot Game Scores'!$B:$B,0))))</f>
        <v/>
      </c>
      <c r="H3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8" s="42" t="str">
        <f>IF(TournamentData[[#This Row],[Team Number]]="","",_xlfn.RANK.EQ(TournamentData[[#This Row],[Max Robot Game Score]],TournamentData[Max Robot Game Score]))</f>
        <v/>
      </c>
      <c r="J3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8" s="43" t="str">
        <f>IF(TournamentData[[#This Row],[Team Number]]="","",IF(M38,RANK(M38,M$3:M$110,1)-COUNTIF(M$3:M$110,0),NumberOfTeams+1))</f>
        <v/>
      </c>
      <c r="O38" s="44">
        <f>IF(ISNA(INDEX(CoreValuesResults[Breakthrough Selection],MATCH(TournamentData[[#This Row],[Team Number]],CoreValuesResults[Team Number],0))),0, INDEX(CoreValuesResults[Breakthrough Selection],MATCH(TournamentData[[#This Row],[Team Number]],CoreValuesResults[Team Number],0)))</f>
        <v>0</v>
      </c>
      <c r="P38" s="44">
        <f>IF(ISNA(INDEX(CoreValuesResults[Rising All-Star Selection],MATCH(TournamentData[[#This Row],[Team Number]],CoreValuesResults[Team Number],0))),0, INDEX(CoreValuesResults[Rising All-Star Selection],MATCH(TournamentData[[#This Row],[Team Number]],CoreValuesResults[Team Number],0)))</f>
        <v>0</v>
      </c>
      <c r="Q38" s="44">
        <f>IF(ISNA(INDEX(CoreValuesResults[Motivate Selection],MATCH(TournamentData[[#This Row],[Team Number]],CoreValuesResults[Team Number],0))),0, INDEX(CoreValuesResults[Motivate Selection],MATCH(TournamentData[[#This Row],[Team Number]],CoreValuesResults[Team Number],0)))</f>
        <v>0</v>
      </c>
      <c r="T38" s="46"/>
      <c r="U38" s="40">
        <f>IF(ISNA(INDEX(CoreValuesResults[Core Values Score],MATCH(TournamentData[[#This Row],[Team Number]],CoreValuesResults[Team Number],0))),0,INDEX(CoreValuesResults[Core Values Score],MATCH(TournamentData[[#This Row],[Team Number]],CoreValuesResults[Team Number],0)))</f>
        <v>0</v>
      </c>
      <c r="V3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8" s="40">
        <f>IF(ISNA(INDEX(RobotDesignResults[Robot Design Score],MATCH(TournamentData[[#This Row],[Team Number]],RobotDesignResults[Team Number],0))),0,INDEX(RobotDesignResults[Robot Design Score],MATCH(TournamentData[[#This Row],[Team Number]],RobotDesignResults[Team Number],0)))</f>
        <v>0</v>
      </c>
      <c r="X3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8" s="48">
        <f t="shared" si="1"/>
        <v>0</v>
      </c>
      <c r="AC38" s="72"/>
      <c r="AD38" s="49"/>
      <c r="AE38" s="46"/>
    </row>
    <row r="39" spans="1:31" s="45" customFormat="1" ht="20.25" customHeight="1" x14ac:dyDescent="0.3">
      <c r="A39" s="40"/>
      <c r="B39" s="41" t="str">
        <f>IF(ISNA(INDEX(OfficialTeamList[Team Name],MATCH(TournamentData[[#This Row],[Team Number]], OfficialTeamList[Team Number],0))),"",INDEX(OfficialTeamList[Team Name],MATCH(TournamentData[[#This Row],[Team Number]], OfficialTeamList[Team Number],0)))</f>
        <v/>
      </c>
      <c r="C39" s="42" t="str">
        <f>IF(TournamentData[[#This Row],[Team Number]]="","",IF(ISNA(INDEX('Robot Game Scores'!C:C,MATCH(TournamentData[[#This Row],[Team Number]], 'Robot Game Scores'!$B:$B,0))),0,INDEX('Robot Game Scores'!C:C,MATCH(TournamentData[[#This Row],[Team Number]], 'Robot Game Scores'!$B:$B,0))))</f>
        <v/>
      </c>
      <c r="D39" s="42" t="str">
        <f>IF(TournamentData[[#This Row],[Team Number]]="","",IF(ISNA(INDEX('Robot Game Scores'!D:D,MATCH(TournamentData[[#This Row],[Team Number]], 'Robot Game Scores'!$B:$B,0))),0,INDEX('Robot Game Scores'!D:D,MATCH(TournamentData[[#This Row],[Team Number]], 'Robot Game Scores'!$B:$B,0))))</f>
        <v/>
      </c>
      <c r="E39" s="42" t="str">
        <f>IF(TournamentData[[#This Row],[Team Number]]="","",IF(ISNA(INDEX('Robot Game Scores'!E:E,MATCH(TournamentData[[#This Row],[Team Number]], 'Robot Game Scores'!$B:$B,0))),0,INDEX('Robot Game Scores'!E:E,MATCH(TournamentData[[#This Row],[Team Number]], 'Robot Game Scores'!$B:$B,0))))</f>
        <v/>
      </c>
      <c r="F39" s="42" t="str">
        <f>IF(TournamentData[[#This Row],[Team Number]]="","",IF(ISNA(INDEX('Robot Game Scores'!F:F,MATCH(TournamentData[[#This Row],[Team Number]], 'Robot Game Scores'!$B:$B,0))),0,INDEX('Robot Game Scores'!F:F,MATCH(TournamentData[[#This Row],[Team Number]], 'Robot Game Scores'!$B:$B,0))))</f>
        <v/>
      </c>
      <c r="G39" s="42" t="str">
        <f>IF(TournamentData[[#This Row],[Team Number]]="","",IF(ISNA(INDEX('Robot Game Scores'!G:G,MATCH(TournamentData[[#This Row],[Team Number]], 'Robot Game Scores'!$B:$B,0))),0,INDEX('Robot Game Scores'!G:G,MATCH(TournamentData[[#This Row],[Team Number]], 'Robot Game Scores'!$B:$B,0))))</f>
        <v/>
      </c>
      <c r="H3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9" s="42" t="str">
        <f>IF(TournamentData[[#This Row],[Team Number]]="","",_xlfn.RANK.EQ(TournamentData[[#This Row],[Max Robot Game Score]],TournamentData[Max Robot Game Score]))</f>
        <v/>
      </c>
      <c r="J3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3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9" s="43" t="str">
        <f>IF(TournamentData[[#This Row],[Team Number]]="","",IF(M39,RANK(M39,M$3:M$110,1)-COUNTIF(M$3:M$110,0),NumberOfTeams+1))</f>
        <v/>
      </c>
      <c r="O39" s="44">
        <f>IF(ISNA(INDEX(CoreValuesResults[Breakthrough Selection],MATCH(TournamentData[[#This Row],[Team Number]],CoreValuesResults[Team Number],0))),0, INDEX(CoreValuesResults[Breakthrough Selection],MATCH(TournamentData[[#This Row],[Team Number]],CoreValuesResults[Team Number],0)))</f>
        <v>0</v>
      </c>
      <c r="P39" s="44">
        <f>IF(ISNA(INDEX(CoreValuesResults[Rising All-Star Selection],MATCH(TournamentData[[#This Row],[Team Number]],CoreValuesResults[Team Number],0))),0, INDEX(CoreValuesResults[Rising All-Star Selection],MATCH(TournamentData[[#This Row],[Team Number]],CoreValuesResults[Team Number],0)))</f>
        <v>0</v>
      </c>
      <c r="Q39" s="44">
        <f>IF(ISNA(INDEX(CoreValuesResults[Motivate Selection],MATCH(TournamentData[[#This Row],[Team Number]],CoreValuesResults[Team Number],0))),0, INDEX(CoreValuesResults[Motivate Selection],MATCH(TournamentData[[#This Row],[Team Number]],CoreValuesResults[Team Number],0)))</f>
        <v>0</v>
      </c>
      <c r="T39" s="46"/>
      <c r="U39" s="40">
        <f>IF(ISNA(INDEX(CoreValuesResults[Core Values Score],MATCH(TournamentData[[#This Row],[Team Number]],CoreValuesResults[Team Number],0))),0,INDEX(CoreValuesResults[Core Values Score],MATCH(TournamentData[[#This Row],[Team Number]],CoreValuesResults[Team Number],0)))</f>
        <v>0</v>
      </c>
      <c r="V3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39" s="40">
        <f>IF(ISNA(INDEX(RobotDesignResults[Robot Design Score],MATCH(TournamentData[[#This Row],[Team Number]],RobotDesignResults[Team Number],0))),0,INDEX(RobotDesignResults[Robot Design Score],MATCH(TournamentData[[#This Row],[Team Number]],RobotDesignResults[Team Number],0)))</f>
        <v>0</v>
      </c>
      <c r="X3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39" s="48">
        <f t="shared" si="1"/>
        <v>0</v>
      </c>
      <c r="AC39" s="72"/>
      <c r="AD39" s="49"/>
      <c r="AE39" s="46"/>
    </row>
    <row r="40" spans="1:31" s="45" customFormat="1" ht="20.25" customHeight="1" x14ac:dyDescent="0.3">
      <c r="A40" s="40"/>
      <c r="B40" s="41" t="str">
        <f>IF(ISNA(INDEX(OfficialTeamList[Team Name],MATCH(TournamentData[[#This Row],[Team Number]], OfficialTeamList[Team Number],0))),"",INDEX(OfficialTeamList[Team Name],MATCH(TournamentData[[#This Row],[Team Number]], OfficialTeamList[Team Number],0)))</f>
        <v/>
      </c>
      <c r="C40" s="42" t="str">
        <f>IF(TournamentData[[#This Row],[Team Number]]="","",IF(ISNA(INDEX('Robot Game Scores'!C:C,MATCH(TournamentData[[#This Row],[Team Number]], 'Robot Game Scores'!$B:$B,0))),0,INDEX('Robot Game Scores'!C:C,MATCH(TournamentData[[#This Row],[Team Number]], 'Robot Game Scores'!$B:$B,0))))</f>
        <v/>
      </c>
      <c r="D40" s="42" t="str">
        <f>IF(TournamentData[[#This Row],[Team Number]]="","",IF(ISNA(INDEX('Robot Game Scores'!D:D,MATCH(TournamentData[[#This Row],[Team Number]], 'Robot Game Scores'!$B:$B,0))),0,INDEX('Robot Game Scores'!D:D,MATCH(TournamentData[[#This Row],[Team Number]], 'Robot Game Scores'!$B:$B,0))))</f>
        <v/>
      </c>
      <c r="E40" s="42" t="str">
        <f>IF(TournamentData[[#This Row],[Team Number]]="","",IF(ISNA(INDEX('Robot Game Scores'!E:E,MATCH(TournamentData[[#This Row],[Team Number]], 'Robot Game Scores'!$B:$B,0))),0,INDEX('Robot Game Scores'!E:E,MATCH(TournamentData[[#This Row],[Team Number]], 'Robot Game Scores'!$B:$B,0))))</f>
        <v/>
      </c>
      <c r="F40" s="42" t="str">
        <f>IF(TournamentData[[#This Row],[Team Number]]="","",IF(ISNA(INDEX('Robot Game Scores'!F:F,MATCH(TournamentData[[#This Row],[Team Number]], 'Robot Game Scores'!$B:$B,0))),0,INDEX('Robot Game Scores'!F:F,MATCH(TournamentData[[#This Row],[Team Number]], 'Robot Game Scores'!$B:$B,0))))</f>
        <v/>
      </c>
      <c r="G40" s="42" t="str">
        <f>IF(TournamentData[[#This Row],[Team Number]]="","",IF(ISNA(INDEX('Robot Game Scores'!G:G,MATCH(TournamentData[[#This Row],[Team Number]], 'Robot Game Scores'!$B:$B,0))),0,INDEX('Robot Game Scores'!G:G,MATCH(TournamentData[[#This Row],[Team Number]], 'Robot Game Scores'!$B:$B,0))))</f>
        <v/>
      </c>
      <c r="H4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0" s="42" t="str">
        <f>IF(TournamentData[[#This Row],[Team Number]]="","",_xlfn.RANK.EQ(TournamentData[[#This Row],[Max Robot Game Score]],TournamentData[Max Robot Game Score]))</f>
        <v/>
      </c>
      <c r="J4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0" s="43" t="str">
        <f>IF(TournamentData[[#This Row],[Team Number]]="","",IF(M40,RANK(M40,M$3:M$110,1)-COUNTIF(M$3:M$110,0),NumberOfTeams+1))</f>
        <v/>
      </c>
      <c r="O40" s="44">
        <f>IF(ISNA(INDEX(CoreValuesResults[Breakthrough Selection],MATCH(TournamentData[[#This Row],[Team Number]],CoreValuesResults[Team Number],0))),0, INDEX(CoreValuesResults[Breakthrough Selection],MATCH(TournamentData[[#This Row],[Team Number]],CoreValuesResults[Team Number],0)))</f>
        <v>0</v>
      </c>
      <c r="P40" s="44">
        <f>IF(ISNA(INDEX(CoreValuesResults[Rising All-Star Selection],MATCH(TournamentData[[#This Row],[Team Number]],CoreValuesResults[Team Number],0))),0, INDEX(CoreValuesResults[Rising All-Star Selection],MATCH(TournamentData[[#This Row],[Team Number]],CoreValuesResults[Team Number],0)))</f>
        <v>0</v>
      </c>
      <c r="Q40" s="44">
        <f>IF(ISNA(INDEX(CoreValuesResults[Motivate Selection],MATCH(TournamentData[[#This Row],[Team Number]],CoreValuesResults[Team Number],0))),0, INDEX(CoreValuesResults[Motivate Selection],MATCH(TournamentData[[#This Row],[Team Number]],CoreValuesResults[Team Number],0)))</f>
        <v>0</v>
      </c>
      <c r="T40" s="46"/>
      <c r="U40" s="40">
        <f>IF(ISNA(INDEX(CoreValuesResults[Core Values Score],MATCH(TournamentData[[#This Row],[Team Number]],CoreValuesResults[Team Number],0))),0,INDEX(CoreValuesResults[Core Values Score],MATCH(TournamentData[[#This Row],[Team Number]],CoreValuesResults[Team Number],0)))</f>
        <v>0</v>
      </c>
      <c r="V4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0" s="40">
        <f>IF(ISNA(INDEX(RobotDesignResults[Robot Design Score],MATCH(TournamentData[[#This Row],[Team Number]],RobotDesignResults[Team Number],0))),0,INDEX(RobotDesignResults[Robot Design Score],MATCH(TournamentData[[#This Row],[Team Number]],RobotDesignResults[Team Number],0)))</f>
        <v>0</v>
      </c>
      <c r="X4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0" s="48">
        <f t="shared" si="1"/>
        <v>0</v>
      </c>
      <c r="AC40" s="72"/>
      <c r="AD40" s="49"/>
      <c r="AE40" s="46"/>
    </row>
    <row r="41" spans="1:31" s="45" customFormat="1" ht="20.25" customHeight="1" x14ac:dyDescent="0.3">
      <c r="A41" s="40"/>
      <c r="B41" s="41" t="str">
        <f>IF(ISNA(INDEX(OfficialTeamList[Team Name],MATCH(TournamentData[[#This Row],[Team Number]], OfficialTeamList[Team Number],0))),"",INDEX(OfficialTeamList[Team Name],MATCH(TournamentData[[#This Row],[Team Number]], OfficialTeamList[Team Number],0)))</f>
        <v/>
      </c>
      <c r="C41" s="42" t="str">
        <f>IF(TournamentData[[#This Row],[Team Number]]="","",IF(ISNA(INDEX('Robot Game Scores'!C:C,MATCH(TournamentData[[#This Row],[Team Number]], 'Robot Game Scores'!$B:$B,0))),0,INDEX('Robot Game Scores'!C:C,MATCH(TournamentData[[#This Row],[Team Number]], 'Robot Game Scores'!$B:$B,0))))</f>
        <v/>
      </c>
      <c r="D41" s="42" t="str">
        <f>IF(TournamentData[[#This Row],[Team Number]]="","",IF(ISNA(INDEX('Robot Game Scores'!D:D,MATCH(TournamentData[[#This Row],[Team Number]], 'Robot Game Scores'!$B:$B,0))),0,INDEX('Robot Game Scores'!D:D,MATCH(TournamentData[[#This Row],[Team Number]], 'Robot Game Scores'!$B:$B,0))))</f>
        <v/>
      </c>
      <c r="E41" s="42" t="str">
        <f>IF(TournamentData[[#This Row],[Team Number]]="","",IF(ISNA(INDEX('Robot Game Scores'!E:E,MATCH(TournamentData[[#This Row],[Team Number]], 'Robot Game Scores'!$B:$B,0))),0,INDEX('Robot Game Scores'!E:E,MATCH(TournamentData[[#This Row],[Team Number]], 'Robot Game Scores'!$B:$B,0))))</f>
        <v/>
      </c>
      <c r="F41" s="42" t="str">
        <f>IF(TournamentData[[#This Row],[Team Number]]="","",IF(ISNA(INDEX('Robot Game Scores'!F:F,MATCH(TournamentData[[#This Row],[Team Number]], 'Robot Game Scores'!$B:$B,0))),0,INDEX('Robot Game Scores'!F:F,MATCH(TournamentData[[#This Row],[Team Number]], 'Robot Game Scores'!$B:$B,0))))</f>
        <v/>
      </c>
      <c r="G41" s="42" t="str">
        <f>IF(TournamentData[[#This Row],[Team Number]]="","",IF(ISNA(INDEX('Robot Game Scores'!G:G,MATCH(TournamentData[[#This Row],[Team Number]], 'Robot Game Scores'!$B:$B,0))),0,INDEX('Robot Game Scores'!G:G,MATCH(TournamentData[[#This Row],[Team Number]], 'Robot Game Scores'!$B:$B,0))))</f>
        <v/>
      </c>
      <c r="H4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1" s="42" t="str">
        <f>IF(TournamentData[[#This Row],[Team Number]]="","",_xlfn.RANK.EQ(TournamentData[[#This Row],[Max Robot Game Score]],TournamentData[Max Robot Game Score]))</f>
        <v/>
      </c>
      <c r="J4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1" s="43" t="str">
        <f>IF(TournamentData[[#This Row],[Team Number]]="","",IF(M41,RANK(M41,M$3:M$110,1)-COUNTIF(M$3:M$110,0),NumberOfTeams+1))</f>
        <v/>
      </c>
      <c r="O41" s="44">
        <f>IF(ISNA(INDEX(CoreValuesResults[Breakthrough Selection],MATCH(TournamentData[[#This Row],[Team Number]],CoreValuesResults[Team Number],0))),0, INDEX(CoreValuesResults[Breakthrough Selection],MATCH(TournamentData[[#This Row],[Team Number]],CoreValuesResults[Team Number],0)))</f>
        <v>0</v>
      </c>
      <c r="P41" s="44">
        <f>IF(ISNA(INDEX(CoreValuesResults[Rising All-Star Selection],MATCH(TournamentData[[#This Row],[Team Number]],CoreValuesResults[Team Number],0))),0, INDEX(CoreValuesResults[Rising All-Star Selection],MATCH(TournamentData[[#This Row],[Team Number]],CoreValuesResults[Team Number],0)))</f>
        <v>0</v>
      </c>
      <c r="Q41" s="44">
        <f>IF(ISNA(INDEX(CoreValuesResults[Motivate Selection],MATCH(TournamentData[[#This Row],[Team Number]],CoreValuesResults[Team Number],0))),0, INDEX(CoreValuesResults[Motivate Selection],MATCH(TournamentData[[#This Row],[Team Number]],CoreValuesResults[Team Number],0)))</f>
        <v>0</v>
      </c>
      <c r="T41" s="46"/>
      <c r="U41" s="40">
        <f>IF(ISNA(INDEX(CoreValuesResults[Core Values Score],MATCH(TournamentData[[#This Row],[Team Number]],CoreValuesResults[Team Number],0))),0,INDEX(CoreValuesResults[Core Values Score],MATCH(TournamentData[[#This Row],[Team Number]],CoreValuesResults[Team Number],0)))</f>
        <v>0</v>
      </c>
      <c r="V4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1" s="40">
        <f>IF(ISNA(INDEX(RobotDesignResults[Robot Design Score],MATCH(TournamentData[[#This Row],[Team Number]],RobotDesignResults[Team Number],0))),0,INDEX(RobotDesignResults[Robot Design Score],MATCH(TournamentData[[#This Row],[Team Number]],RobotDesignResults[Team Number],0)))</f>
        <v>0</v>
      </c>
      <c r="X4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1" s="48">
        <f t="shared" si="1"/>
        <v>0</v>
      </c>
      <c r="AC41" s="72"/>
      <c r="AD41" s="49"/>
      <c r="AE41" s="46"/>
    </row>
    <row r="42" spans="1:31" s="45" customFormat="1" ht="20.25" customHeight="1" x14ac:dyDescent="0.3">
      <c r="A42" s="40"/>
      <c r="B42" s="41" t="str">
        <f>IF(ISNA(INDEX(OfficialTeamList[Team Name],MATCH(TournamentData[[#This Row],[Team Number]], OfficialTeamList[Team Number],0))),"",INDEX(OfficialTeamList[Team Name],MATCH(TournamentData[[#This Row],[Team Number]], OfficialTeamList[Team Number],0)))</f>
        <v/>
      </c>
      <c r="C42" s="42" t="str">
        <f>IF(TournamentData[[#This Row],[Team Number]]="","",IF(ISNA(INDEX('Robot Game Scores'!C:C,MATCH(TournamentData[[#This Row],[Team Number]], 'Robot Game Scores'!$B:$B,0))),0,INDEX('Robot Game Scores'!C:C,MATCH(TournamentData[[#This Row],[Team Number]], 'Robot Game Scores'!$B:$B,0))))</f>
        <v/>
      </c>
      <c r="D42" s="42" t="str">
        <f>IF(TournamentData[[#This Row],[Team Number]]="","",IF(ISNA(INDEX('Robot Game Scores'!D:D,MATCH(TournamentData[[#This Row],[Team Number]], 'Robot Game Scores'!$B:$B,0))),0,INDEX('Robot Game Scores'!D:D,MATCH(TournamentData[[#This Row],[Team Number]], 'Robot Game Scores'!$B:$B,0))))</f>
        <v/>
      </c>
      <c r="E42" s="42" t="str">
        <f>IF(TournamentData[[#This Row],[Team Number]]="","",IF(ISNA(INDEX('Robot Game Scores'!E:E,MATCH(TournamentData[[#This Row],[Team Number]], 'Robot Game Scores'!$B:$B,0))),0,INDEX('Robot Game Scores'!E:E,MATCH(TournamentData[[#This Row],[Team Number]], 'Robot Game Scores'!$B:$B,0))))</f>
        <v/>
      </c>
      <c r="F42" s="42" t="str">
        <f>IF(TournamentData[[#This Row],[Team Number]]="","",IF(ISNA(INDEX('Robot Game Scores'!F:F,MATCH(TournamentData[[#This Row],[Team Number]], 'Robot Game Scores'!$B:$B,0))),0,INDEX('Robot Game Scores'!F:F,MATCH(TournamentData[[#This Row],[Team Number]], 'Robot Game Scores'!$B:$B,0))))</f>
        <v/>
      </c>
      <c r="G42" s="42" t="str">
        <f>IF(TournamentData[[#This Row],[Team Number]]="","",IF(ISNA(INDEX('Robot Game Scores'!G:G,MATCH(TournamentData[[#This Row],[Team Number]], 'Robot Game Scores'!$B:$B,0))),0,INDEX('Robot Game Scores'!G:G,MATCH(TournamentData[[#This Row],[Team Number]], 'Robot Game Scores'!$B:$B,0))))</f>
        <v/>
      </c>
      <c r="H4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2" s="42" t="str">
        <f>IF(TournamentData[[#This Row],[Team Number]]="","",_xlfn.RANK.EQ(TournamentData[[#This Row],[Max Robot Game Score]],TournamentData[Max Robot Game Score]))</f>
        <v/>
      </c>
      <c r="J4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2" s="43" t="str">
        <f>IF(TournamentData[[#This Row],[Team Number]]="","",IF(M42,RANK(M42,M$3:M$110,1)-COUNTIF(M$3:M$110,0),NumberOfTeams+1))</f>
        <v/>
      </c>
      <c r="O42" s="44">
        <f>IF(ISNA(INDEX(CoreValuesResults[Breakthrough Selection],MATCH(TournamentData[[#This Row],[Team Number]],CoreValuesResults[Team Number],0))),0, INDEX(CoreValuesResults[Breakthrough Selection],MATCH(TournamentData[[#This Row],[Team Number]],CoreValuesResults[Team Number],0)))</f>
        <v>0</v>
      </c>
      <c r="P42" s="44">
        <f>IF(ISNA(INDEX(CoreValuesResults[Rising All-Star Selection],MATCH(TournamentData[[#This Row],[Team Number]],CoreValuesResults[Team Number],0))),0, INDEX(CoreValuesResults[Rising All-Star Selection],MATCH(TournamentData[[#This Row],[Team Number]],CoreValuesResults[Team Number],0)))</f>
        <v>0</v>
      </c>
      <c r="Q42" s="44">
        <f>IF(ISNA(INDEX(CoreValuesResults[Motivate Selection],MATCH(TournamentData[[#This Row],[Team Number]],CoreValuesResults[Team Number],0))),0, INDEX(CoreValuesResults[Motivate Selection],MATCH(TournamentData[[#This Row],[Team Number]],CoreValuesResults[Team Number],0)))</f>
        <v>0</v>
      </c>
      <c r="T42" s="46"/>
      <c r="U42" s="40">
        <f>IF(ISNA(INDEX(CoreValuesResults[Core Values Score],MATCH(TournamentData[[#This Row],[Team Number]],CoreValuesResults[Team Number],0))),0,INDEX(CoreValuesResults[Core Values Score],MATCH(TournamentData[[#This Row],[Team Number]],CoreValuesResults[Team Number],0)))</f>
        <v>0</v>
      </c>
      <c r="V4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2" s="40">
        <f>IF(ISNA(INDEX(RobotDesignResults[Robot Design Score],MATCH(TournamentData[[#This Row],[Team Number]],RobotDesignResults[Team Number],0))),0,INDEX(RobotDesignResults[Robot Design Score],MATCH(TournamentData[[#This Row],[Team Number]],RobotDesignResults[Team Number],0)))</f>
        <v>0</v>
      </c>
      <c r="X4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2" s="48">
        <f t="shared" si="1"/>
        <v>0</v>
      </c>
      <c r="AC42" s="72"/>
      <c r="AD42" s="49"/>
      <c r="AE42" s="46"/>
    </row>
    <row r="43" spans="1:31" s="45" customFormat="1" ht="20.25" customHeight="1" x14ac:dyDescent="0.3">
      <c r="A43" s="40"/>
      <c r="B43" s="41" t="str">
        <f>IF(ISNA(INDEX(OfficialTeamList[Team Name],MATCH(TournamentData[[#This Row],[Team Number]], OfficialTeamList[Team Number],0))),"",INDEX(OfficialTeamList[Team Name],MATCH(TournamentData[[#This Row],[Team Number]], OfficialTeamList[Team Number],0)))</f>
        <v/>
      </c>
      <c r="C43" s="42" t="str">
        <f>IF(TournamentData[[#This Row],[Team Number]]="","",IF(ISNA(INDEX('Robot Game Scores'!C:C,MATCH(TournamentData[[#This Row],[Team Number]], 'Robot Game Scores'!$B:$B,0))),0,INDEX('Robot Game Scores'!C:C,MATCH(TournamentData[[#This Row],[Team Number]], 'Robot Game Scores'!$B:$B,0))))</f>
        <v/>
      </c>
      <c r="D43" s="42" t="str">
        <f>IF(TournamentData[[#This Row],[Team Number]]="","",IF(ISNA(INDEX('Robot Game Scores'!D:D,MATCH(TournamentData[[#This Row],[Team Number]], 'Robot Game Scores'!$B:$B,0))),0,INDEX('Robot Game Scores'!D:D,MATCH(TournamentData[[#This Row],[Team Number]], 'Robot Game Scores'!$B:$B,0))))</f>
        <v/>
      </c>
      <c r="E43" s="42" t="str">
        <f>IF(TournamentData[[#This Row],[Team Number]]="","",IF(ISNA(INDEX('Robot Game Scores'!E:E,MATCH(TournamentData[[#This Row],[Team Number]], 'Robot Game Scores'!$B:$B,0))),0,INDEX('Robot Game Scores'!E:E,MATCH(TournamentData[[#This Row],[Team Number]], 'Robot Game Scores'!$B:$B,0))))</f>
        <v/>
      </c>
      <c r="F43" s="42" t="str">
        <f>IF(TournamentData[[#This Row],[Team Number]]="","",IF(ISNA(INDEX('Robot Game Scores'!F:F,MATCH(TournamentData[[#This Row],[Team Number]], 'Robot Game Scores'!$B:$B,0))),0,INDEX('Robot Game Scores'!F:F,MATCH(TournamentData[[#This Row],[Team Number]], 'Robot Game Scores'!$B:$B,0))))</f>
        <v/>
      </c>
      <c r="G43" s="42" t="str">
        <f>IF(TournamentData[[#This Row],[Team Number]]="","",IF(ISNA(INDEX('Robot Game Scores'!G:G,MATCH(TournamentData[[#This Row],[Team Number]], 'Robot Game Scores'!$B:$B,0))),0,INDEX('Robot Game Scores'!G:G,MATCH(TournamentData[[#This Row],[Team Number]], 'Robot Game Scores'!$B:$B,0))))</f>
        <v/>
      </c>
      <c r="H4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3" s="42" t="str">
        <f>IF(TournamentData[[#This Row],[Team Number]]="","",_xlfn.RANK.EQ(TournamentData[[#This Row],[Max Robot Game Score]],TournamentData[Max Robot Game Score]))</f>
        <v/>
      </c>
      <c r="J4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3" s="43" t="str">
        <f>IF(TournamentData[[#This Row],[Team Number]]="","",IF(M43,RANK(M43,M$3:M$110,1)-COUNTIF(M$3:M$110,0),NumberOfTeams+1))</f>
        <v/>
      </c>
      <c r="O43" s="44">
        <f>IF(ISNA(INDEX(CoreValuesResults[Breakthrough Selection],MATCH(TournamentData[[#This Row],[Team Number]],CoreValuesResults[Team Number],0))),0, INDEX(CoreValuesResults[Breakthrough Selection],MATCH(TournamentData[[#This Row],[Team Number]],CoreValuesResults[Team Number],0)))</f>
        <v>0</v>
      </c>
      <c r="P43" s="44">
        <f>IF(ISNA(INDEX(CoreValuesResults[Rising All-Star Selection],MATCH(TournamentData[[#This Row],[Team Number]],CoreValuesResults[Team Number],0))),0, INDEX(CoreValuesResults[Rising All-Star Selection],MATCH(TournamentData[[#This Row],[Team Number]],CoreValuesResults[Team Number],0)))</f>
        <v>0</v>
      </c>
      <c r="Q43" s="44">
        <f>IF(ISNA(INDEX(CoreValuesResults[Motivate Selection],MATCH(TournamentData[[#This Row],[Team Number]],CoreValuesResults[Team Number],0))),0, INDEX(CoreValuesResults[Motivate Selection],MATCH(TournamentData[[#This Row],[Team Number]],CoreValuesResults[Team Number],0)))</f>
        <v>0</v>
      </c>
      <c r="T43" s="46"/>
      <c r="U43" s="40">
        <f>IF(ISNA(INDEX(CoreValuesResults[Core Values Score],MATCH(TournamentData[[#This Row],[Team Number]],CoreValuesResults[Team Number],0))),0,INDEX(CoreValuesResults[Core Values Score],MATCH(TournamentData[[#This Row],[Team Number]],CoreValuesResults[Team Number],0)))</f>
        <v>0</v>
      </c>
      <c r="V4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3" s="40">
        <f>IF(ISNA(INDEX(RobotDesignResults[Robot Design Score],MATCH(TournamentData[[#This Row],[Team Number]],RobotDesignResults[Team Number],0))),0,INDEX(RobotDesignResults[Robot Design Score],MATCH(TournamentData[[#This Row],[Team Number]],RobotDesignResults[Team Number],0)))</f>
        <v>0</v>
      </c>
      <c r="X4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3" s="48">
        <f t="shared" si="1"/>
        <v>0</v>
      </c>
      <c r="AC43" s="72"/>
      <c r="AD43" s="49"/>
      <c r="AE43" s="46"/>
    </row>
    <row r="44" spans="1:31" s="45" customFormat="1" ht="20.25" customHeight="1" x14ac:dyDescent="0.3">
      <c r="A44" s="40"/>
      <c r="B44" s="41" t="str">
        <f>IF(ISNA(INDEX(OfficialTeamList[Team Name],MATCH(TournamentData[[#This Row],[Team Number]], OfficialTeamList[Team Number],0))),"",INDEX(OfficialTeamList[Team Name],MATCH(TournamentData[[#This Row],[Team Number]], OfficialTeamList[Team Number],0)))</f>
        <v/>
      </c>
      <c r="C44" s="42" t="str">
        <f>IF(TournamentData[[#This Row],[Team Number]]="","",IF(ISNA(INDEX('Robot Game Scores'!C:C,MATCH(TournamentData[[#This Row],[Team Number]], 'Robot Game Scores'!$B:$B,0))),0,INDEX('Robot Game Scores'!C:C,MATCH(TournamentData[[#This Row],[Team Number]], 'Robot Game Scores'!$B:$B,0))))</f>
        <v/>
      </c>
      <c r="D44" s="42" t="str">
        <f>IF(TournamentData[[#This Row],[Team Number]]="","",IF(ISNA(INDEX('Robot Game Scores'!D:D,MATCH(TournamentData[[#This Row],[Team Number]], 'Robot Game Scores'!$B:$B,0))),0,INDEX('Robot Game Scores'!D:D,MATCH(TournamentData[[#This Row],[Team Number]], 'Robot Game Scores'!$B:$B,0))))</f>
        <v/>
      </c>
      <c r="E44" s="42" t="str">
        <f>IF(TournamentData[[#This Row],[Team Number]]="","",IF(ISNA(INDEX('Robot Game Scores'!E:E,MATCH(TournamentData[[#This Row],[Team Number]], 'Robot Game Scores'!$B:$B,0))),0,INDEX('Robot Game Scores'!E:E,MATCH(TournamentData[[#This Row],[Team Number]], 'Robot Game Scores'!$B:$B,0))))</f>
        <v/>
      </c>
      <c r="F44" s="42" t="str">
        <f>IF(TournamentData[[#This Row],[Team Number]]="","",IF(ISNA(INDEX('Robot Game Scores'!F:F,MATCH(TournamentData[[#This Row],[Team Number]], 'Robot Game Scores'!$B:$B,0))),0,INDEX('Robot Game Scores'!F:F,MATCH(TournamentData[[#This Row],[Team Number]], 'Robot Game Scores'!$B:$B,0))))</f>
        <v/>
      </c>
      <c r="G44" s="42" t="str">
        <f>IF(TournamentData[[#This Row],[Team Number]]="","",IF(ISNA(INDEX('Robot Game Scores'!G:G,MATCH(TournamentData[[#This Row],[Team Number]], 'Robot Game Scores'!$B:$B,0))),0,INDEX('Robot Game Scores'!G:G,MATCH(TournamentData[[#This Row],[Team Number]], 'Robot Game Scores'!$B:$B,0))))</f>
        <v/>
      </c>
      <c r="H4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4" s="42" t="str">
        <f>IF(TournamentData[[#This Row],[Team Number]]="","",_xlfn.RANK.EQ(TournamentData[[#This Row],[Max Robot Game Score]],TournamentData[Max Robot Game Score]))</f>
        <v/>
      </c>
      <c r="J4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4" s="43" t="str">
        <f>IF(TournamentData[[#This Row],[Team Number]]="","",IF(M44,RANK(M44,M$3:M$110,1)-COUNTIF(M$3:M$110,0),NumberOfTeams+1))</f>
        <v/>
      </c>
      <c r="O44" s="50">
        <f>IF(ISNA(INDEX(CoreValuesResults[Breakthrough Selection],MATCH(TournamentData[[#This Row],[Team Number]],CoreValuesResults[Team Number],0))),0, INDEX(CoreValuesResults[Breakthrough Selection],MATCH(TournamentData[[#This Row],[Team Number]],CoreValuesResults[Team Number],0)))</f>
        <v>0</v>
      </c>
      <c r="P44" s="50">
        <f>IF(ISNA(INDEX(CoreValuesResults[Rising All-Star Selection],MATCH(TournamentData[[#This Row],[Team Number]],CoreValuesResults[Team Number],0))),0, INDEX(CoreValuesResults[Rising All-Star Selection],MATCH(TournamentData[[#This Row],[Team Number]],CoreValuesResults[Team Number],0)))</f>
        <v>0</v>
      </c>
      <c r="Q44" s="50">
        <f>IF(ISNA(INDEX(CoreValuesResults[Motivate Selection],MATCH(TournamentData[[#This Row],[Team Number]],CoreValuesResults[Team Number],0))),0, INDEX(CoreValuesResults[Motivate Selection],MATCH(TournamentData[[#This Row],[Team Number]],CoreValuesResults[Team Number],0)))</f>
        <v>0</v>
      </c>
      <c r="T44" s="46"/>
      <c r="U44" s="40">
        <f>IF(ISNA(INDEX(CoreValuesResults[Core Values Score],MATCH(TournamentData[[#This Row],[Team Number]],CoreValuesResults[Team Number],0))),0,INDEX(CoreValuesResults[Core Values Score],MATCH(TournamentData[[#This Row],[Team Number]],CoreValuesResults[Team Number],0)))</f>
        <v>0</v>
      </c>
      <c r="V4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4" s="40">
        <f>IF(ISNA(INDEX(RobotDesignResults[Robot Design Score],MATCH(TournamentData[[#This Row],[Team Number]],RobotDesignResults[Team Number],0))),0,INDEX(RobotDesignResults[Robot Design Score],MATCH(TournamentData[[#This Row],[Team Number]],RobotDesignResults[Team Number],0)))</f>
        <v>0</v>
      </c>
      <c r="X4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4" s="48">
        <f t="shared" si="1"/>
        <v>0</v>
      </c>
      <c r="AC44" s="72"/>
      <c r="AD44" s="49"/>
      <c r="AE44" s="46"/>
    </row>
    <row r="45" spans="1:31" s="45" customFormat="1" ht="20.25" customHeight="1" x14ac:dyDescent="0.3">
      <c r="A45" s="40"/>
      <c r="B45" s="41" t="str">
        <f>IF(ISNA(INDEX(OfficialTeamList[Team Name],MATCH(TournamentData[[#This Row],[Team Number]], OfficialTeamList[Team Number],0))),"",INDEX(OfficialTeamList[Team Name],MATCH(TournamentData[[#This Row],[Team Number]], OfficialTeamList[Team Number],0)))</f>
        <v/>
      </c>
      <c r="C45" s="42" t="str">
        <f>IF(TournamentData[[#This Row],[Team Number]]="","",IF(ISNA(INDEX('Robot Game Scores'!C:C,MATCH(TournamentData[[#This Row],[Team Number]], 'Robot Game Scores'!$B:$B,0))),0,INDEX('Robot Game Scores'!C:C,MATCH(TournamentData[[#This Row],[Team Number]], 'Robot Game Scores'!$B:$B,0))))</f>
        <v/>
      </c>
      <c r="D45" s="42" t="str">
        <f>IF(TournamentData[[#This Row],[Team Number]]="","",IF(ISNA(INDEX('Robot Game Scores'!D:D,MATCH(TournamentData[[#This Row],[Team Number]], 'Robot Game Scores'!$B:$B,0))),0,INDEX('Robot Game Scores'!D:D,MATCH(TournamentData[[#This Row],[Team Number]], 'Robot Game Scores'!$B:$B,0))))</f>
        <v/>
      </c>
      <c r="E45" s="42" t="str">
        <f>IF(TournamentData[[#This Row],[Team Number]]="","",IF(ISNA(INDEX('Robot Game Scores'!E:E,MATCH(TournamentData[[#This Row],[Team Number]], 'Robot Game Scores'!$B:$B,0))),0,INDEX('Robot Game Scores'!E:E,MATCH(TournamentData[[#This Row],[Team Number]], 'Robot Game Scores'!$B:$B,0))))</f>
        <v/>
      </c>
      <c r="F45" s="42" t="str">
        <f>IF(TournamentData[[#This Row],[Team Number]]="","",IF(ISNA(INDEX('Robot Game Scores'!F:F,MATCH(TournamentData[[#This Row],[Team Number]], 'Robot Game Scores'!$B:$B,0))),0,INDEX('Robot Game Scores'!F:F,MATCH(TournamentData[[#This Row],[Team Number]], 'Robot Game Scores'!$B:$B,0))))</f>
        <v/>
      </c>
      <c r="G45" s="42" t="str">
        <f>IF(TournamentData[[#This Row],[Team Number]]="","",IF(ISNA(INDEX('Robot Game Scores'!G:G,MATCH(TournamentData[[#This Row],[Team Number]], 'Robot Game Scores'!$B:$B,0))),0,INDEX('Robot Game Scores'!G:G,MATCH(TournamentData[[#This Row],[Team Number]], 'Robot Game Scores'!$B:$B,0))))</f>
        <v/>
      </c>
      <c r="H4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5" s="42" t="str">
        <f>IF(TournamentData[[#This Row],[Team Number]]="","",_xlfn.RANK.EQ(TournamentData[[#This Row],[Max Robot Game Score]],TournamentData[Max Robot Game Score]))</f>
        <v/>
      </c>
      <c r="J4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5" s="43" t="str">
        <f>IF(TournamentData[[#This Row],[Team Number]]="","",IF(M45,RANK(M45,M$3:M$110,1)-COUNTIF(M$3:M$110,0),NumberOfTeams+1))</f>
        <v/>
      </c>
      <c r="O45" s="44">
        <f>IF(ISNA(INDEX(CoreValuesResults[Breakthrough Selection],MATCH(TournamentData[[#This Row],[Team Number]],CoreValuesResults[Team Number],0))),0, INDEX(CoreValuesResults[Breakthrough Selection],MATCH(TournamentData[[#This Row],[Team Number]],CoreValuesResults[Team Number],0)))</f>
        <v>0</v>
      </c>
      <c r="P45" s="44">
        <f>IF(ISNA(INDEX(CoreValuesResults[Rising All-Star Selection],MATCH(TournamentData[[#This Row],[Team Number]],CoreValuesResults[Team Number],0))),0, INDEX(CoreValuesResults[Rising All-Star Selection],MATCH(TournamentData[[#This Row],[Team Number]],CoreValuesResults[Team Number],0)))</f>
        <v>0</v>
      </c>
      <c r="Q45" s="44">
        <f>IF(ISNA(INDEX(CoreValuesResults[Motivate Selection],MATCH(TournamentData[[#This Row],[Team Number]],CoreValuesResults[Team Number],0))),0, INDEX(CoreValuesResults[Motivate Selection],MATCH(TournamentData[[#This Row],[Team Number]],CoreValuesResults[Team Number],0)))</f>
        <v>0</v>
      </c>
      <c r="T45" s="46"/>
      <c r="U45" s="40">
        <f>IF(ISNA(INDEX(CoreValuesResults[Core Values Score],MATCH(TournamentData[[#This Row],[Team Number]],CoreValuesResults[Team Number],0))),0,INDEX(CoreValuesResults[Core Values Score],MATCH(TournamentData[[#This Row],[Team Number]],CoreValuesResults[Team Number],0)))</f>
        <v>0</v>
      </c>
      <c r="V4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5" s="40">
        <f>IF(ISNA(INDEX(RobotDesignResults[Robot Design Score],MATCH(TournamentData[[#This Row],[Team Number]],RobotDesignResults[Team Number],0))),0,INDEX(RobotDesignResults[Robot Design Score],MATCH(TournamentData[[#This Row],[Team Number]],RobotDesignResults[Team Number],0)))</f>
        <v>0</v>
      </c>
      <c r="X4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5" s="48">
        <f t="shared" si="1"/>
        <v>0</v>
      </c>
      <c r="AC45" s="72"/>
      <c r="AD45" s="49"/>
      <c r="AE45" s="46"/>
    </row>
    <row r="46" spans="1:31" s="45" customFormat="1" ht="20.25" customHeight="1" x14ac:dyDescent="0.3">
      <c r="A46" s="40"/>
      <c r="B46" s="41" t="str">
        <f>IF(ISNA(INDEX(OfficialTeamList[Team Name],MATCH(TournamentData[[#This Row],[Team Number]], OfficialTeamList[Team Number],0))),"",INDEX(OfficialTeamList[Team Name],MATCH(TournamentData[[#This Row],[Team Number]], OfficialTeamList[Team Number],0)))</f>
        <v/>
      </c>
      <c r="C46" s="42" t="str">
        <f>IF(TournamentData[[#This Row],[Team Number]]="","",IF(ISNA(INDEX('Robot Game Scores'!C:C,MATCH(TournamentData[[#This Row],[Team Number]], 'Robot Game Scores'!$B:$B,0))),0,INDEX('Robot Game Scores'!C:C,MATCH(TournamentData[[#This Row],[Team Number]], 'Robot Game Scores'!$B:$B,0))))</f>
        <v/>
      </c>
      <c r="D46" s="42" t="str">
        <f>IF(TournamentData[[#This Row],[Team Number]]="","",IF(ISNA(INDEX('Robot Game Scores'!D:D,MATCH(TournamentData[[#This Row],[Team Number]], 'Robot Game Scores'!$B:$B,0))),0,INDEX('Robot Game Scores'!D:D,MATCH(TournamentData[[#This Row],[Team Number]], 'Robot Game Scores'!$B:$B,0))))</f>
        <v/>
      </c>
      <c r="E46" s="42" t="str">
        <f>IF(TournamentData[[#This Row],[Team Number]]="","",IF(ISNA(INDEX('Robot Game Scores'!E:E,MATCH(TournamentData[[#This Row],[Team Number]], 'Robot Game Scores'!$B:$B,0))),0,INDEX('Robot Game Scores'!E:E,MATCH(TournamentData[[#This Row],[Team Number]], 'Robot Game Scores'!$B:$B,0))))</f>
        <v/>
      </c>
      <c r="F46" s="42" t="str">
        <f>IF(TournamentData[[#This Row],[Team Number]]="","",IF(ISNA(INDEX('Robot Game Scores'!F:F,MATCH(TournamentData[[#This Row],[Team Number]], 'Robot Game Scores'!$B:$B,0))),0,INDEX('Robot Game Scores'!F:F,MATCH(TournamentData[[#This Row],[Team Number]], 'Robot Game Scores'!$B:$B,0))))</f>
        <v/>
      </c>
      <c r="G46" s="42" t="str">
        <f>IF(TournamentData[[#This Row],[Team Number]]="","",IF(ISNA(INDEX('Robot Game Scores'!G:G,MATCH(TournamentData[[#This Row],[Team Number]], 'Robot Game Scores'!$B:$B,0))),0,INDEX('Robot Game Scores'!G:G,MATCH(TournamentData[[#This Row],[Team Number]], 'Robot Game Scores'!$B:$B,0))))</f>
        <v/>
      </c>
      <c r="H4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6" s="42" t="str">
        <f>IF(TournamentData[[#This Row],[Team Number]]="","",_xlfn.RANK.EQ(TournamentData[[#This Row],[Max Robot Game Score]],TournamentData[Max Robot Game Score]))</f>
        <v/>
      </c>
      <c r="J4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6" s="43" t="str">
        <f>IF(TournamentData[[#This Row],[Team Number]]="","",IF(M46,RANK(M46,M$3:M$110,1)-COUNTIF(M$3:M$110,0),NumberOfTeams+1))</f>
        <v/>
      </c>
      <c r="O46" s="50">
        <f>IF(ISNA(INDEX(CoreValuesResults[Breakthrough Selection],MATCH(TournamentData[[#This Row],[Team Number]],CoreValuesResults[Team Number],0))),0, INDEX(CoreValuesResults[Breakthrough Selection],MATCH(TournamentData[[#This Row],[Team Number]],CoreValuesResults[Team Number],0)))</f>
        <v>0</v>
      </c>
      <c r="P46" s="50">
        <f>IF(ISNA(INDEX(CoreValuesResults[Rising All-Star Selection],MATCH(TournamentData[[#This Row],[Team Number]],CoreValuesResults[Team Number],0))),0, INDEX(CoreValuesResults[Rising All-Star Selection],MATCH(TournamentData[[#This Row],[Team Number]],CoreValuesResults[Team Number],0)))</f>
        <v>0</v>
      </c>
      <c r="Q46" s="50">
        <f>IF(ISNA(INDEX(CoreValuesResults[Motivate Selection],MATCH(TournamentData[[#This Row],[Team Number]],CoreValuesResults[Team Number],0))),0, INDEX(CoreValuesResults[Motivate Selection],MATCH(TournamentData[[#This Row],[Team Number]],CoreValuesResults[Team Number],0)))</f>
        <v>0</v>
      </c>
      <c r="T46" s="46"/>
      <c r="U46" s="40">
        <f>IF(ISNA(INDEX(CoreValuesResults[Core Values Score],MATCH(TournamentData[[#This Row],[Team Number]],CoreValuesResults[Team Number],0))),0,INDEX(CoreValuesResults[Core Values Score],MATCH(TournamentData[[#This Row],[Team Number]],CoreValuesResults[Team Number],0)))</f>
        <v>0</v>
      </c>
      <c r="V4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6" s="40">
        <f>IF(ISNA(INDEX(RobotDesignResults[Robot Design Score],MATCH(TournamentData[[#This Row],[Team Number]],RobotDesignResults[Team Number],0))),0,INDEX(RobotDesignResults[Robot Design Score],MATCH(TournamentData[[#This Row],[Team Number]],RobotDesignResults[Team Number],0)))</f>
        <v>0</v>
      </c>
      <c r="X4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6" s="48">
        <f t="shared" si="1"/>
        <v>0</v>
      </c>
      <c r="AC46" s="72"/>
      <c r="AD46" s="49"/>
      <c r="AE46" s="46"/>
    </row>
    <row r="47" spans="1:31" s="45" customFormat="1" ht="20.25" customHeight="1" x14ac:dyDescent="0.3">
      <c r="A47" s="40"/>
      <c r="B47" s="41" t="str">
        <f>IF(ISNA(INDEX(OfficialTeamList[Team Name],MATCH(TournamentData[[#This Row],[Team Number]], OfficialTeamList[Team Number],0))),"",INDEX(OfficialTeamList[Team Name],MATCH(TournamentData[[#This Row],[Team Number]], OfficialTeamList[Team Number],0)))</f>
        <v/>
      </c>
      <c r="C47" s="42" t="str">
        <f>IF(TournamentData[[#This Row],[Team Number]]="","",IF(ISNA(INDEX('Robot Game Scores'!C:C,MATCH(TournamentData[[#This Row],[Team Number]], 'Robot Game Scores'!$B:$B,0))),0,INDEX('Robot Game Scores'!C:C,MATCH(TournamentData[[#This Row],[Team Number]], 'Robot Game Scores'!$B:$B,0))))</f>
        <v/>
      </c>
      <c r="D47" s="42" t="str">
        <f>IF(TournamentData[[#This Row],[Team Number]]="","",IF(ISNA(INDEX('Robot Game Scores'!D:D,MATCH(TournamentData[[#This Row],[Team Number]], 'Robot Game Scores'!$B:$B,0))),0,INDEX('Robot Game Scores'!D:D,MATCH(TournamentData[[#This Row],[Team Number]], 'Robot Game Scores'!$B:$B,0))))</f>
        <v/>
      </c>
      <c r="E47" s="42" t="str">
        <f>IF(TournamentData[[#This Row],[Team Number]]="","",IF(ISNA(INDEX('Robot Game Scores'!E:E,MATCH(TournamentData[[#This Row],[Team Number]], 'Robot Game Scores'!$B:$B,0))),0,INDEX('Robot Game Scores'!E:E,MATCH(TournamentData[[#This Row],[Team Number]], 'Robot Game Scores'!$B:$B,0))))</f>
        <v/>
      </c>
      <c r="F47" s="42" t="str">
        <f>IF(TournamentData[[#This Row],[Team Number]]="","",IF(ISNA(INDEX('Robot Game Scores'!F:F,MATCH(TournamentData[[#This Row],[Team Number]], 'Robot Game Scores'!$B:$B,0))),0,INDEX('Robot Game Scores'!F:F,MATCH(TournamentData[[#This Row],[Team Number]], 'Robot Game Scores'!$B:$B,0))))</f>
        <v/>
      </c>
      <c r="G47" s="42" t="str">
        <f>IF(TournamentData[[#This Row],[Team Number]]="","",IF(ISNA(INDEX('Robot Game Scores'!G:G,MATCH(TournamentData[[#This Row],[Team Number]], 'Robot Game Scores'!$B:$B,0))),0,INDEX('Robot Game Scores'!G:G,MATCH(TournamentData[[#This Row],[Team Number]], 'Robot Game Scores'!$B:$B,0))))</f>
        <v/>
      </c>
      <c r="H4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7" s="42" t="str">
        <f>IF(TournamentData[[#This Row],[Team Number]]="","",_xlfn.RANK.EQ(TournamentData[[#This Row],[Max Robot Game Score]],TournamentData[Max Robot Game Score]))</f>
        <v/>
      </c>
      <c r="J4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7" s="43" t="str">
        <f>IF(TournamentData[[#This Row],[Team Number]]="","",IF(M47,RANK(M47,M$3:M$110,1)-COUNTIF(M$3:M$110,0),NumberOfTeams+1))</f>
        <v/>
      </c>
      <c r="O47" s="44">
        <f>IF(ISNA(INDEX(CoreValuesResults[Breakthrough Selection],MATCH(TournamentData[[#This Row],[Team Number]],CoreValuesResults[Team Number],0))),0, INDEX(CoreValuesResults[Breakthrough Selection],MATCH(TournamentData[[#This Row],[Team Number]],CoreValuesResults[Team Number],0)))</f>
        <v>0</v>
      </c>
      <c r="P47" s="44">
        <f>IF(ISNA(INDEX(CoreValuesResults[Rising All-Star Selection],MATCH(TournamentData[[#This Row],[Team Number]],CoreValuesResults[Team Number],0))),0, INDEX(CoreValuesResults[Rising All-Star Selection],MATCH(TournamentData[[#This Row],[Team Number]],CoreValuesResults[Team Number],0)))</f>
        <v>0</v>
      </c>
      <c r="Q47" s="44">
        <f>IF(ISNA(INDEX(CoreValuesResults[Motivate Selection],MATCH(TournamentData[[#This Row],[Team Number]],CoreValuesResults[Team Number],0))),0, INDEX(CoreValuesResults[Motivate Selection],MATCH(TournamentData[[#This Row],[Team Number]],CoreValuesResults[Team Number],0)))</f>
        <v>0</v>
      </c>
      <c r="T47" s="46"/>
      <c r="U47" s="40">
        <f>IF(ISNA(INDEX(CoreValuesResults[Core Values Score],MATCH(TournamentData[[#This Row],[Team Number]],CoreValuesResults[Team Number],0))),0,INDEX(CoreValuesResults[Core Values Score],MATCH(TournamentData[[#This Row],[Team Number]],CoreValuesResults[Team Number],0)))</f>
        <v>0</v>
      </c>
      <c r="V4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7" s="40">
        <f>IF(ISNA(INDEX(RobotDesignResults[Robot Design Score],MATCH(TournamentData[[#This Row],[Team Number]],RobotDesignResults[Team Number],0))),0,INDEX(RobotDesignResults[Robot Design Score],MATCH(TournamentData[[#This Row],[Team Number]],RobotDesignResults[Team Number],0)))</f>
        <v>0</v>
      </c>
      <c r="X4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7" s="48">
        <f t="shared" si="1"/>
        <v>0</v>
      </c>
      <c r="AC47" s="72"/>
      <c r="AD47" s="49"/>
      <c r="AE47" s="46"/>
    </row>
    <row r="48" spans="1:31" s="45" customFormat="1" ht="20.25" customHeight="1" x14ac:dyDescent="0.3">
      <c r="A48" s="40"/>
      <c r="B48" s="41" t="str">
        <f>IF(ISNA(INDEX(OfficialTeamList[Team Name],MATCH(TournamentData[[#This Row],[Team Number]], OfficialTeamList[Team Number],0))),"",INDEX(OfficialTeamList[Team Name],MATCH(TournamentData[[#This Row],[Team Number]], OfficialTeamList[Team Number],0)))</f>
        <v/>
      </c>
      <c r="C48" s="42" t="str">
        <f>IF(TournamentData[[#This Row],[Team Number]]="","",IF(ISNA(INDEX('Robot Game Scores'!C:C,MATCH(TournamentData[[#This Row],[Team Number]], 'Robot Game Scores'!$B:$B,0))),0,INDEX('Robot Game Scores'!C:C,MATCH(TournamentData[[#This Row],[Team Number]], 'Robot Game Scores'!$B:$B,0))))</f>
        <v/>
      </c>
      <c r="D48" s="42" t="str">
        <f>IF(TournamentData[[#This Row],[Team Number]]="","",IF(ISNA(INDEX('Robot Game Scores'!D:D,MATCH(TournamentData[[#This Row],[Team Number]], 'Robot Game Scores'!$B:$B,0))),0,INDEX('Robot Game Scores'!D:D,MATCH(TournamentData[[#This Row],[Team Number]], 'Robot Game Scores'!$B:$B,0))))</f>
        <v/>
      </c>
      <c r="E48" s="42" t="str">
        <f>IF(TournamentData[[#This Row],[Team Number]]="","",IF(ISNA(INDEX('Robot Game Scores'!E:E,MATCH(TournamentData[[#This Row],[Team Number]], 'Robot Game Scores'!$B:$B,0))),0,INDEX('Robot Game Scores'!E:E,MATCH(TournamentData[[#This Row],[Team Number]], 'Robot Game Scores'!$B:$B,0))))</f>
        <v/>
      </c>
      <c r="F48" s="42" t="str">
        <f>IF(TournamentData[[#This Row],[Team Number]]="","",IF(ISNA(INDEX('Robot Game Scores'!F:F,MATCH(TournamentData[[#This Row],[Team Number]], 'Robot Game Scores'!$B:$B,0))),0,INDEX('Robot Game Scores'!F:F,MATCH(TournamentData[[#This Row],[Team Number]], 'Robot Game Scores'!$B:$B,0))))</f>
        <v/>
      </c>
      <c r="G48" s="42" t="str">
        <f>IF(TournamentData[[#This Row],[Team Number]]="","",IF(ISNA(INDEX('Robot Game Scores'!G:G,MATCH(TournamentData[[#This Row],[Team Number]], 'Robot Game Scores'!$B:$B,0))),0,INDEX('Robot Game Scores'!G:G,MATCH(TournamentData[[#This Row],[Team Number]], 'Robot Game Scores'!$B:$B,0))))</f>
        <v/>
      </c>
      <c r="H4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8" s="42" t="str">
        <f>IF(TournamentData[[#This Row],[Team Number]]="","",_xlfn.RANK.EQ(TournamentData[[#This Row],[Max Robot Game Score]],TournamentData[Max Robot Game Score]))</f>
        <v/>
      </c>
      <c r="J4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8" s="43" t="str">
        <f>IF(TournamentData[[#This Row],[Team Number]]="","",IF(M48,RANK(M48,M$3:M$110,1)-COUNTIF(M$3:M$110,0),NumberOfTeams+1))</f>
        <v/>
      </c>
      <c r="O48" s="44">
        <f>IF(ISNA(INDEX(CoreValuesResults[Breakthrough Selection],MATCH(TournamentData[[#This Row],[Team Number]],CoreValuesResults[Team Number],0))),0, INDEX(CoreValuesResults[Breakthrough Selection],MATCH(TournamentData[[#This Row],[Team Number]],CoreValuesResults[Team Number],0)))</f>
        <v>0</v>
      </c>
      <c r="P48" s="44">
        <f>IF(ISNA(INDEX(CoreValuesResults[Rising All-Star Selection],MATCH(TournamentData[[#This Row],[Team Number]],CoreValuesResults[Team Number],0))),0, INDEX(CoreValuesResults[Rising All-Star Selection],MATCH(TournamentData[[#This Row],[Team Number]],CoreValuesResults[Team Number],0)))</f>
        <v>0</v>
      </c>
      <c r="Q48" s="44">
        <f>IF(ISNA(INDEX(CoreValuesResults[Motivate Selection],MATCH(TournamentData[[#This Row],[Team Number]],CoreValuesResults[Team Number],0))),0, INDEX(CoreValuesResults[Motivate Selection],MATCH(TournamentData[[#This Row],[Team Number]],CoreValuesResults[Team Number],0)))</f>
        <v>0</v>
      </c>
      <c r="T48" s="46"/>
      <c r="U48" s="40">
        <f>IF(ISNA(INDEX(CoreValuesResults[Core Values Score],MATCH(TournamentData[[#This Row],[Team Number]],CoreValuesResults[Team Number],0))),0,INDEX(CoreValuesResults[Core Values Score],MATCH(TournamentData[[#This Row],[Team Number]],CoreValuesResults[Team Number],0)))</f>
        <v>0</v>
      </c>
      <c r="V4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8" s="40">
        <f>IF(ISNA(INDEX(RobotDesignResults[Robot Design Score],MATCH(TournamentData[[#This Row],[Team Number]],RobotDesignResults[Team Number],0))),0,INDEX(RobotDesignResults[Robot Design Score],MATCH(TournamentData[[#This Row],[Team Number]],RobotDesignResults[Team Number],0)))</f>
        <v>0</v>
      </c>
      <c r="X4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8" s="48">
        <f t="shared" si="1"/>
        <v>0</v>
      </c>
      <c r="AC48" s="72"/>
      <c r="AD48" s="49"/>
      <c r="AE48" s="46"/>
    </row>
    <row r="49" spans="1:31" s="45" customFormat="1" ht="20.25" customHeight="1" x14ac:dyDescent="0.3">
      <c r="A49" s="40"/>
      <c r="B49" s="41" t="str">
        <f>IF(ISNA(INDEX(OfficialTeamList[Team Name],MATCH(TournamentData[[#This Row],[Team Number]], OfficialTeamList[Team Number],0))),"",INDEX(OfficialTeamList[Team Name],MATCH(TournamentData[[#This Row],[Team Number]], OfficialTeamList[Team Number],0)))</f>
        <v/>
      </c>
      <c r="C49" s="42" t="str">
        <f>IF(TournamentData[[#This Row],[Team Number]]="","",IF(ISNA(INDEX('Robot Game Scores'!C:C,MATCH(TournamentData[[#This Row],[Team Number]], 'Robot Game Scores'!$B:$B,0))),0,INDEX('Robot Game Scores'!C:C,MATCH(TournamentData[[#This Row],[Team Number]], 'Robot Game Scores'!$B:$B,0))))</f>
        <v/>
      </c>
      <c r="D49" s="42" t="str">
        <f>IF(TournamentData[[#This Row],[Team Number]]="","",IF(ISNA(INDEX('Robot Game Scores'!D:D,MATCH(TournamentData[[#This Row],[Team Number]], 'Robot Game Scores'!$B:$B,0))),0,INDEX('Robot Game Scores'!D:D,MATCH(TournamentData[[#This Row],[Team Number]], 'Robot Game Scores'!$B:$B,0))))</f>
        <v/>
      </c>
      <c r="E49" s="42" t="str">
        <f>IF(TournamentData[[#This Row],[Team Number]]="","",IF(ISNA(INDEX('Robot Game Scores'!E:E,MATCH(TournamentData[[#This Row],[Team Number]], 'Robot Game Scores'!$B:$B,0))),0,INDEX('Robot Game Scores'!E:E,MATCH(TournamentData[[#This Row],[Team Number]], 'Robot Game Scores'!$B:$B,0))))</f>
        <v/>
      </c>
      <c r="F49" s="42" t="str">
        <f>IF(TournamentData[[#This Row],[Team Number]]="","",IF(ISNA(INDEX('Robot Game Scores'!F:F,MATCH(TournamentData[[#This Row],[Team Number]], 'Robot Game Scores'!$B:$B,0))),0,INDEX('Robot Game Scores'!F:F,MATCH(TournamentData[[#This Row],[Team Number]], 'Robot Game Scores'!$B:$B,0))))</f>
        <v/>
      </c>
      <c r="G49" s="42" t="str">
        <f>IF(TournamentData[[#This Row],[Team Number]]="","",IF(ISNA(INDEX('Robot Game Scores'!G:G,MATCH(TournamentData[[#This Row],[Team Number]], 'Robot Game Scores'!$B:$B,0))),0,INDEX('Robot Game Scores'!G:G,MATCH(TournamentData[[#This Row],[Team Number]], 'Robot Game Scores'!$B:$B,0))))</f>
        <v/>
      </c>
      <c r="H4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9" s="42" t="str">
        <f>IF(TournamentData[[#This Row],[Team Number]]="","",_xlfn.RANK.EQ(TournamentData[[#This Row],[Max Robot Game Score]],TournamentData[Max Robot Game Score]))</f>
        <v/>
      </c>
      <c r="J4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4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9" s="43" t="str">
        <f>IF(TournamentData[[#This Row],[Team Number]]="","",IF(M49,RANK(M49,M$3:M$110,1)-COUNTIF(M$3:M$110,0),NumberOfTeams+1))</f>
        <v/>
      </c>
      <c r="O49" s="50">
        <f>IF(ISNA(INDEX(CoreValuesResults[Breakthrough Selection],MATCH(TournamentData[[#This Row],[Team Number]],CoreValuesResults[Team Number],0))),0, INDEX(CoreValuesResults[Breakthrough Selection],MATCH(TournamentData[[#This Row],[Team Number]],CoreValuesResults[Team Number],0)))</f>
        <v>0</v>
      </c>
      <c r="P49" s="50">
        <f>IF(ISNA(INDEX(CoreValuesResults[Rising All-Star Selection],MATCH(TournamentData[[#This Row],[Team Number]],CoreValuesResults[Team Number],0))),0, INDEX(CoreValuesResults[Rising All-Star Selection],MATCH(TournamentData[[#This Row],[Team Number]],CoreValuesResults[Team Number],0)))</f>
        <v>0</v>
      </c>
      <c r="Q49" s="50">
        <f>IF(ISNA(INDEX(CoreValuesResults[Motivate Selection],MATCH(TournamentData[[#This Row],[Team Number]],CoreValuesResults[Team Number],0))),0, INDEX(CoreValuesResults[Motivate Selection],MATCH(TournamentData[[#This Row],[Team Number]],CoreValuesResults[Team Number],0)))</f>
        <v>0</v>
      </c>
      <c r="T49" s="46"/>
      <c r="U49" s="40">
        <f>IF(ISNA(INDEX(CoreValuesResults[Core Values Score],MATCH(TournamentData[[#This Row],[Team Number]],CoreValuesResults[Team Number],0))),0,INDEX(CoreValuesResults[Core Values Score],MATCH(TournamentData[[#This Row],[Team Number]],CoreValuesResults[Team Number],0)))</f>
        <v>0</v>
      </c>
      <c r="V4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49" s="40">
        <f>IF(ISNA(INDEX(RobotDesignResults[Robot Design Score],MATCH(TournamentData[[#This Row],[Team Number]],RobotDesignResults[Team Number],0))),0,INDEX(RobotDesignResults[Robot Design Score],MATCH(TournamentData[[#This Row],[Team Number]],RobotDesignResults[Team Number],0)))</f>
        <v>0</v>
      </c>
      <c r="X4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49" s="48">
        <f t="shared" si="1"/>
        <v>0</v>
      </c>
      <c r="AC49" s="72"/>
      <c r="AD49" s="49"/>
      <c r="AE49" s="46"/>
    </row>
    <row r="50" spans="1:31" s="45" customFormat="1" ht="20.25" customHeight="1" x14ac:dyDescent="0.3">
      <c r="A50" s="40"/>
      <c r="B50" s="41" t="str">
        <f>IF(ISNA(INDEX(OfficialTeamList[Team Name],MATCH(TournamentData[[#This Row],[Team Number]], OfficialTeamList[Team Number],0))),"",INDEX(OfficialTeamList[Team Name],MATCH(TournamentData[[#This Row],[Team Number]], OfficialTeamList[Team Number],0)))</f>
        <v/>
      </c>
      <c r="C50" s="42" t="str">
        <f>IF(TournamentData[[#This Row],[Team Number]]="","",IF(ISNA(INDEX('Robot Game Scores'!C:C,MATCH(TournamentData[[#This Row],[Team Number]], 'Robot Game Scores'!$B:$B,0))),0,INDEX('Robot Game Scores'!C:C,MATCH(TournamentData[[#This Row],[Team Number]], 'Robot Game Scores'!$B:$B,0))))</f>
        <v/>
      </c>
      <c r="D50" s="42" t="str">
        <f>IF(TournamentData[[#This Row],[Team Number]]="","",IF(ISNA(INDEX('Robot Game Scores'!D:D,MATCH(TournamentData[[#This Row],[Team Number]], 'Robot Game Scores'!$B:$B,0))),0,INDEX('Robot Game Scores'!D:D,MATCH(TournamentData[[#This Row],[Team Number]], 'Robot Game Scores'!$B:$B,0))))</f>
        <v/>
      </c>
      <c r="E50" s="42" t="str">
        <f>IF(TournamentData[[#This Row],[Team Number]]="","",IF(ISNA(INDEX('Robot Game Scores'!E:E,MATCH(TournamentData[[#This Row],[Team Number]], 'Robot Game Scores'!$B:$B,0))),0,INDEX('Robot Game Scores'!E:E,MATCH(TournamentData[[#This Row],[Team Number]], 'Robot Game Scores'!$B:$B,0))))</f>
        <v/>
      </c>
      <c r="F50" s="42" t="str">
        <f>IF(TournamentData[[#This Row],[Team Number]]="","",IF(ISNA(INDEX('Robot Game Scores'!F:F,MATCH(TournamentData[[#This Row],[Team Number]], 'Robot Game Scores'!$B:$B,0))),0,INDEX('Robot Game Scores'!F:F,MATCH(TournamentData[[#This Row],[Team Number]], 'Robot Game Scores'!$B:$B,0))))</f>
        <v/>
      </c>
      <c r="G50" s="42" t="str">
        <f>IF(TournamentData[[#This Row],[Team Number]]="","",IF(ISNA(INDEX('Robot Game Scores'!G:G,MATCH(TournamentData[[#This Row],[Team Number]], 'Robot Game Scores'!$B:$B,0))),0,INDEX('Robot Game Scores'!G:G,MATCH(TournamentData[[#This Row],[Team Number]], 'Robot Game Scores'!$B:$B,0))))</f>
        <v/>
      </c>
      <c r="H5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0" s="42" t="str">
        <f>IF(TournamentData[[#This Row],[Team Number]]="","",_xlfn.RANK.EQ(TournamentData[[#This Row],[Max Robot Game Score]],TournamentData[Max Robot Game Score]))</f>
        <v/>
      </c>
      <c r="J5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0" s="43" t="str">
        <f>IF(TournamentData[[#This Row],[Team Number]]="","",IF(M50,RANK(M50,M$3:M$110,1)-COUNTIF(M$3:M$110,0),NumberOfTeams+1))</f>
        <v/>
      </c>
      <c r="O50" s="44">
        <f>IF(ISNA(INDEX(CoreValuesResults[Breakthrough Selection],MATCH(TournamentData[[#This Row],[Team Number]],CoreValuesResults[Team Number],0))),0, INDEX(CoreValuesResults[Breakthrough Selection],MATCH(TournamentData[[#This Row],[Team Number]],CoreValuesResults[Team Number],0)))</f>
        <v>0</v>
      </c>
      <c r="P50" s="44">
        <f>IF(ISNA(INDEX(CoreValuesResults[Rising All-Star Selection],MATCH(TournamentData[[#This Row],[Team Number]],CoreValuesResults[Team Number],0))),0, INDEX(CoreValuesResults[Rising All-Star Selection],MATCH(TournamentData[[#This Row],[Team Number]],CoreValuesResults[Team Number],0)))</f>
        <v>0</v>
      </c>
      <c r="Q50" s="44">
        <f>IF(ISNA(INDEX(CoreValuesResults[Motivate Selection],MATCH(TournamentData[[#This Row],[Team Number]],CoreValuesResults[Team Number],0))),0, INDEX(CoreValuesResults[Motivate Selection],MATCH(TournamentData[[#This Row],[Team Number]],CoreValuesResults[Team Number],0)))</f>
        <v>0</v>
      </c>
      <c r="T50" s="46"/>
      <c r="U50" s="40">
        <f>IF(ISNA(INDEX(CoreValuesResults[Core Values Score],MATCH(TournamentData[[#This Row],[Team Number]],CoreValuesResults[Team Number],0))),0,INDEX(CoreValuesResults[Core Values Score],MATCH(TournamentData[[#This Row],[Team Number]],CoreValuesResults[Team Number],0)))</f>
        <v>0</v>
      </c>
      <c r="V5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0" s="40">
        <f>IF(ISNA(INDEX(RobotDesignResults[Robot Design Score],MATCH(TournamentData[[#This Row],[Team Number]],RobotDesignResults[Team Number],0))),0,INDEX(RobotDesignResults[Robot Design Score],MATCH(TournamentData[[#This Row],[Team Number]],RobotDesignResults[Team Number],0)))</f>
        <v>0</v>
      </c>
      <c r="X5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0" s="48">
        <f t="shared" si="1"/>
        <v>0</v>
      </c>
      <c r="AC50" s="72"/>
      <c r="AD50" s="49"/>
      <c r="AE50" s="46"/>
    </row>
    <row r="51" spans="1:31" s="45" customFormat="1" ht="20.25" customHeight="1" x14ac:dyDescent="0.3">
      <c r="A51" s="40"/>
      <c r="B51" s="41" t="str">
        <f>IF(ISNA(INDEX(OfficialTeamList[Team Name],MATCH(TournamentData[[#This Row],[Team Number]], OfficialTeamList[Team Number],0))),"",INDEX(OfficialTeamList[Team Name],MATCH(TournamentData[[#This Row],[Team Number]], OfficialTeamList[Team Number],0)))</f>
        <v/>
      </c>
      <c r="C51" s="42" t="str">
        <f>IF(TournamentData[[#This Row],[Team Number]]="","",IF(ISNA(INDEX('Robot Game Scores'!C:C,MATCH(TournamentData[[#This Row],[Team Number]], 'Robot Game Scores'!$B:$B,0))),0,INDEX('Robot Game Scores'!C:C,MATCH(TournamentData[[#This Row],[Team Number]], 'Robot Game Scores'!$B:$B,0))))</f>
        <v/>
      </c>
      <c r="D51" s="42" t="str">
        <f>IF(TournamentData[[#This Row],[Team Number]]="","",IF(ISNA(INDEX('Robot Game Scores'!D:D,MATCH(TournamentData[[#This Row],[Team Number]], 'Robot Game Scores'!$B:$B,0))),0,INDEX('Robot Game Scores'!D:D,MATCH(TournamentData[[#This Row],[Team Number]], 'Robot Game Scores'!$B:$B,0))))</f>
        <v/>
      </c>
      <c r="E51" s="42" t="str">
        <f>IF(TournamentData[[#This Row],[Team Number]]="","",IF(ISNA(INDEX('Robot Game Scores'!E:E,MATCH(TournamentData[[#This Row],[Team Number]], 'Robot Game Scores'!$B:$B,0))),0,INDEX('Robot Game Scores'!E:E,MATCH(TournamentData[[#This Row],[Team Number]], 'Robot Game Scores'!$B:$B,0))))</f>
        <v/>
      </c>
      <c r="F51" s="42" t="str">
        <f>IF(TournamentData[[#This Row],[Team Number]]="","",IF(ISNA(INDEX('Robot Game Scores'!F:F,MATCH(TournamentData[[#This Row],[Team Number]], 'Robot Game Scores'!$B:$B,0))),0,INDEX('Robot Game Scores'!F:F,MATCH(TournamentData[[#This Row],[Team Number]], 'Robot Game Scores'!$B:$B,0))))</f>
        <v/>
      </c>
      <c r="G51" s="42" t="str">
        <f>IF(TournamentData[[#This Row],[Team Number]]="","",IF(ISNA(INDEX('Robot Game Scores'!G:G,MATCH(TournamentData[[#This Row],[Team Number]], 'Robot Game Scores'!$B:$B,0))),0,INDEX('Robot Game Scores'!G:G,MATCH(TournamentData[[#This Row],[Team Number]], 'Robot Game Scores'!$B:$B,0))))</f>
        <v/>
      </c>
      <c r="H5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1" s="42" t="str">
        <f>IF(TournamentData[[#This Row],[Team Number]]="","",_xlfn.RANK.EQ(TournamentData[[#This Row],[Max Robot Game Score]],TournamentData[Max Robot Game Score]))</f>
        <v/>
      </c>
      <c r="J5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1" s="43" t="str">
        <f>IF(TournamentData[[#This Row],[Team Number]]="","",IF(M51,RANK(M51,M$3:M$110,1)-COUNTIF(M$3:M$110,0),NumberOfTeams+1))</f>
        <v/>
      </c>
      <c r="O51" s="44">
        <f>IF(ISNA(INDEX(CoreValuesResults[Breakthrough Selection],MATCH(TournamentData[[#This Row],[Team Number]],CoreValuesResults[Team Number],0))),0, INDEX(CoreValuesResults[Breakthrough Selection],MATCH(TournamentData[[#This Row],[Team Number]],CoreValuesResults[Team Number],0)))</f>
        <v>0</v>
      </c>
      <c r="P51" s="44">
        <f>IF(ISNA(INDEX(CoreValuesResults[Rising All-Star Selection],MATCH(TournamentData[[#This Row],[Team Number]],CoreValuesResults[Team Number],0))),0, INDEX(CoreValuesResults[Rising All-Star Selection],MATCH(TournamentData[[#This Row],[Team Number]],CoreValuesResults[Team Number],0)))</f>
        <v>0</v>
      </c>
      <c r="Q51" s="44">
        <f>IF(ISNA(INDEX(CoreValuesResults[Motivate Selection],MATCH(TournamentData[[#This Row],[Team Number]],CoreValuesResults[Team Number],0))),0, INDEX(CoreValuesResults[Motivate Selection],MATCH(TournamentData[[#This Row],[Team Number]],CoreValuesResults[Team Number],0)))</f>
        <v>0</v>
      </c>
      <c r="T51" s="46"/>
      <c r="U51" s="40">
        <f>IF(ISNA(INDEX(CoreValuesResults[Core Values Score],MATCH(TournamentData[[#This Row],[Team Number]],CoreValuesResults[Team Number],0))),0,INDEX(CoreValuesResults[Core Values Score],MATCH(TournamentData[[#This Row],[Team Number]],CoreValuesResults[Team Number],0)))</f>
        <v>0</v>
      </c>
      <c r="V5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1" s="40">
        <f>IF(ISNA(INDEX(RobotDesignResults[Robot Design Score],MATCH(TournamentData[[#This Row],[Team Number]],RobotDesignResults[Team Number],0))),0,INDEX(RobotDesignResults[Robot Design Score],MATCH(TournamentData[[#This Row],[Team Number]],RobotDesignResults[Team Number],0)))</f>
        <v>0</v>
      </c>
      <c r="X5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1" s="48">
        <f t="shared" si="1"/>
        <v>0</v>
      </c>
      <c r="AC51" s="72"/>
      <c r="AD51" s="49"/>
      <c r="AE51" s="46"/>
    </row>
    <row r="52" spans="1:31" s="45" customFormat="1" ht="20.25" customHeight="1" x14ac:dyDescent="0.3">
      <c r="A52" s="40"/>
      <c r="B52" s="41" t="str">
        <f>IF(ISNA(INDEX(OfficialTeamList[Team Name],MATCH(TournamentData[[#This Row],[Team Number]], OfficialTeamList[Team Number],0))),"",INDEX(OfficialTeamList[Team Name],MATCH(TournamentData[[#This Row],[Team Number]], OfficialTeamList[Team Number],0)))</f>
        <v/>
      </c>
      <c r="C52" s="42" t="str">
        <f>IF(TournamentData[[#This Row],[Team Number]]="","",IF(ISNA(INDEX('Robot Game Scores'!C:C,MATCH(TournamentData[[#This Row],[Team Number]], 'Robot Game Scores'!$B:$B,0))),0,INDEX('Robot Game Scores'!C:C,MATCH(TournamentData[[#This Row],[Team Number]], 'Robot Game Scores'!$B:$B,0))))</f>
        <v/>
      </c>
      <c r="D52" s="42" t="str">
        <f>IF(TournamentData[[#This Row],[Team Number]]="","",IF(ISNA(INDEX('Robot Game Scores'!D:D,MATCH(TournamentData[[#This Row],[Team Number]], 'Robot Game Scores'!$B:$B,0))),0,INDEX('Robot Game Scores'!D:D,MATCH(TournamentData[[#This Row],[Team Number]], 'Robot Game Scores'!$B:$B,0))))</f>
        <v/>
      </c>
      <c r="E52" s="42" t="str">
        <f>IF(TournamentData[[#This Row],[Team Number]]="","",IF(ISNA(INDEX('Robot Game Scores'!E:E,MATCH(TournamentData[[#This Row],[Team Number]], 'Robot Game Scores'!$B:$B,0))),0,INDEX('Robot Game Scores'!E:E,MATCH(TournamentData[[#This Row],[Team Number]], 'Robot Game Scores'!$B:$B,0))))</f>
        <v/>
      </c>
      <c r="F52" s="42" t="str">
        <f>IF(TournamentData[[#This Row],[Team Number]]="","",IF(ISNA(INDEX('Robot Game Scores'!F:F,MATCH(TournamentData[[#This Row],[Team Number]], 'Robot Game Scores'!$B:$B,0))),0,INDEX('Robot Game Scores'!F:F,MATCH(TournamentData[[#This Row],[Team Number]], 'Robot Game Scores'!$B:$B,0))))</f>
        <v/>
      </c>
      <c r="G52" s="42" t="str">
        <f>IF(TournamentData[[#This Row],[Team Number]]="","",IF(ISNA(INDEX('Robot Game Scores'!G:G,MATCH(TournamentData[[#This Row],[Team Number]], 'Robot Game Scores'!$B:$B,0))),0,INDEX('Robot Game Scores'!G:G,MATCH(TournamentData[[#This Row],[Team Number]], 'Robot Game Scores'!$B:$B,0))))</f>
        <v/>
      </c>
      <c r="H5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2" s="42" t="str">
        <f>IF(TournamentData[[#This Row],[Team Number]]="","",_xlfn.RANK.EQ(TournamentData[[#This Row],[Max Robot Game Score]],TournamentData[Max Robot Game Score]))</f>
        <v/>
      </c>
      <c r="J5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2" s="43" t="str">
        <f>IF(TournamentData[[#This Row],[Team Number]]="","",IF(M52,RANK(M52,M$3:M$110,1)-COUNTIF(M$3:M$110,0),NumberOfTeams+1))</f>
        <v/>
      </c>
      <c r="O52" s="50">
        <f>IF(ISNA(INDEX(CoreValuesResults[Breakthrough Selection],MATCH(TournamentData[[#This Row],[Team Number]],CoreValuesResults[Team Number],0))),0, INDEX(CoreValuesResults[Breakthrough Selection],MATCH(TournamentData[[#This Row],[Team Number]],CoreValuesResults[Team Number],0)))</f>
        <v>0</v>
      </c>
      <c r="P52" s="50">
        <f>IF(ISNA(INDEX(CoreValuesResults[Rising All-Star Selection],MATCH(TournamentData[[#This Row],[Team Number]],CoreValuesResults[Team Number],0))),0, INDEX(CoreValuesResults[Rising All-Star Selection],MATCH(TournamentData[[#This Row],[Team Number]],CoreValuesResults[Team Number],0)))</f>
        <v>0</v>
      </c>
      <c r="Q52" s="50">
        <f>IF(ISNA(INDEX(CoreValuesResults[Motivate Selection],MATCH(TournamentData[[#This Row],[Team Number]],CoreValuesResults[Team Number],0))),0, INDEX(CoreValuesResults[Motivate Selection],MATCH(TournamentData[[#This Row],[Team Number]],CoreValuesResults[Team Number],0)))</f>
        <v>0</v>
      </c>
      <c r="T52" s="46"/>
      <c r="U52" s="40">
        <f>IF(ISNA(INDEX(CoreValuesResults[Core Values Score],MATCH(TournamentData[[#This Row],[Team Number]],CoreValuesResults[Team Number],0))),0,INDEX(CoreValuesResults[Core Values Score],MATCH(TournamentData[[#This Row],[Team Number]],CoreValuesResults[Team Number],0)))</f>
        <v>0</v>
      </c>
      <c r="V5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2" s="40">
        <f>IF(ISNA(INDEX(RobotDesignResults[Robot Design Score],MATCH(TournamentData[[#This Row],[Team Number]],RobotDesignResults[Team Number],0))),0,INDEX(RobotDesignResults[Robot Design Score],MATCH(TournamentData[[#This Row],[Team Number]],RobotDesignResults[Team Number],0)))</f>
        <v>0</v>
      </c>
      <c r="X5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2" s="48">
        <f t="shared" si="1"/>
        <v>0</v>
      </c>
      <c r="AC52" s="72"/>
      <c r="AD52" s="49"/>
      <c r="AE52" s="46"/>
    </row>
    <row r="53" spans="1:31" s="45" customFormat="1" ht="20.25" customHeight="1" x14ac:dyDescent="0.3">
      <c r="A53" s="40"/>
      <c r="B53" s="41" t="str">
        <f>IF(ISNA(INDEX(OfficialTeamList[Team Name],MATCH(TournamentData[[#This Row],[Team Number]], OfficialTeamList[Team Number],0))),"",INDEX(OfficialTeamList[Team Name],MATCH(TournamentData[[#This Row],[Team Number]], OfficialTeamList[Team Number],0)))</f>
        <v/>
      </c>
      <c r="C53" s="42" t="str">
        <f>IF(TournamentData[[#This Row],[Team Number]]="","",IF(ISNA(INDEX('Robot Game Scores'!C:C,MATCH(TournamentData[[#This Row],[Team Number]], 'Robot Game Scores'!$B:$B,0))),0,INDEX('Robot Game Scores'!C:C,MATCH(TournamentData[[#This Row],[Team Number]], 'Robot Game Scores'!$B:$B,0))))</f>
        <v/>
      </c>
      <c r="D53" s="42" t="str">
        <f>IF(TournamentData[[#This Row],[Team Number]]="","",IF(ISNA(INDEX('Robot Game Scores'!D:D,MATCH(TournamentData[[#This Row],[Team Number]], 'Robot Game Scores'!$B:$B,0))),0,INDEX('Robot Game Scores'!D:D,MATCH(TournamentData[[#This Row],[Team Number]], 'Robot Game Scores'!$B:$B,0))))</f>
        <v/>
      </c>
      <c r="E53" s="42" t="str">
        <f>IF(TournamentData[[#This Row],[Team Number]]="","",IF(ISNA(INDEX('Robot Game Scores'!E:E,MATCH(TournamentData[[#This Row],[Team Number]], 'Robot Game Scores'!$B:$B,0))),0,INDEX('Robot Game Scores'!E:E,MATCH(TournamentData[[#This Row],[Team Number]], 'Robot Game Scores'!$B:$B,0))))</f>
        <v/>
      </c>
      <c r="F53" s="42" t="str">
        <f>IF(TournamentData[[#This Row],[Team Number]]="","",IF(ISNA(INDEX('Robot Game Scores'!F:F,MATCH(TournamentData[[#This Row],[Team Number]], 'Robot Game Scores'!$B:$B,0))),0,INDEX('Robot Game Scores'!F:F,MATCH(TournamentData[[#This Row],[Team Number]], 'Robot Game Scores'!$B:$B,0))))</f>
        <v/>
      </c>
      <c r="G53" s="42" t="str">
        <f>IF(TournamentData[[#This Row],[Team Number]]="","",IF(ISNA(INDEX('Robot Game Scores'!G:G,MATCH(TournamentData[[#This Row],[Team Number]], 'Robot Game Scores'!$B:$B,0))),0,INDEX('Robot Game Scores'!G:G,MATCH(TournamentData[[#This Row],[Team Number]], 'Robot Game Scores'!$B:$B,0))))</f>
        <v/>
      </c>
      <c r="H5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3" s="42" t="str">
        <f>IF(TournamentData[[#This Row],[Team Number]]="","",_xlfn.RANK.EQ(TournamentData[[#This Row],[Max Robot Game Score]],TournamentData[Max Robot Game Score]))</f>
        <v/>
      </c>
      <c r="J5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3" s="43" t="str">
        <f>IF(TournamentData[[#This Row],[Team Number]]="","",IF(M53,RANK(M53,M$3:M$110,1)-COUNTIF(M$3:M$110,0),NumberOfTeams+1))</f>
        <v/>
      </c>
      <c r="O53" s="44">
        <f>IF(ISNA(INDEX(CoreValuesResults[Breakthrough Selection],MATCH(TournamentData[[#This Row],[Team Number]],CoreValuesResults[Team Number],0))),0, INDEX(CoreValuesResults[Breakthrough Selection],MATCH(TournamentData[[#This Row],[Team Number]],CoreValuesResults[Team Number],0)))</f>
        <v>0</v>
      </c>
      <c r="P53" s="44">
        <f>IF(ISNA(INDEX(CoreValuesResults[Rising All-Star Selection],MATCH(TournamentData[[#This Row],[Team Number]],CoreValuesResults[Team Number],0))),0, INDEX(CoreValuesResults[Rising All-Star Selection],MATCH(TournamentData[[#This Row],[Team Number]],CoreValuesResults[Team Number],0)))</f>
        <v>0</v>
      </c>
      <c r="Q53" s="44">
        <f>IF(ISNA(INDEX(CoreValuesResults[Motivate Selection],MATCH(TournamentData[[#This Row],[Team Number]],CoreValuesResults[Team Number],0))),0, INDEX(CoreValuesResults[Motivate Selection],MATCH(TournamentData[[#This Row],[Team Number]],CoreValuesResults[Team Number],0)))</f>
        <v>0</v>
      </c>
      <c r="T53" s="46"/>
      <c r="U53" s="40">
        <f>IF(ISNA(INDEX(CoreValuesResults[Core Values Score],MATCH(TournamentData[[#This Row],[Team Number]],CoreValuesResults[Team Number],0))),0,INDEX(CoreValuesResults[Core Values Score],MATCH(TournamentData[[#This Row],[Team Number]],CoreValuesResults[Team Number],0)))</f>
        <v>0</v>
      </c>
      <c r="V5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3" s="40">
        <f>IF(ISNA(INDEX(RobotDesignResults[Robot Design Score],MATCH(TournamentData[[#This Row],[Team Number]],RobotDesignResults[Team Number],0))),0,INDEX(RobotDesignResults[Robot Design Score],MATCH(TournamentData[[#This Row],[Team Number]],RobotDesignResults[Team Number],0)))</f>
        <v>0</v>
      </c>
      <c r="X5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3" s="48">
        <f t="shared" si="1"/>
        <v>0</v>
      </c>
      <c r="AC53" s="72"/>
      <c r="AD53" s="49"/>
      <c r="AE53" s="46"/>
    </row>
    <row r="54" spans="1:31" s="45" customFormat="1" ht="20.25" customHeight="1" x14ac:dyDescent="0.3">
      <c r="A54" s="40"/>
      <c r="B54" s="41" t="str">
        <f>IF(ISNA(INDEX(OfficialTeamList[Team Name],MATCH(TournamentData[[#This Row],[Team Number]], OfficialTeamList[Team Number],0))),"",INDEX(OfficialTeamList[Team Name],MATCH(TournamentData[[#This Row],[Team Number]], OfficialTeamList[Team Number],0)))</f>
        <v/>
      </c>
      <c r="C54" s="42" t="str">
        <f>IF(TournamentData[[#This Row],[Team Number]]="","",IF(ISNA(INDEX('Robot Game Scores'!C:C,MATCH(TournamentData[[#This Row],[Team Number]], 'Robot Game Scores'!$B:$B,0))),0,INDEX('Robot Game Scores'!C:C,MATCH(TournamentData[[#This Row],[Team Number]], 'Robot Game Scores'!$B:$B,0))))</f>
        <v/>
      </c>
      <c r="D54" s="42" t="str">
        <f>IF(TournamentData[[#This Row],[Team Number]]="","",IF(ISNA(INDEX('Robot Game Scores'!D:D,MATCH(TournamentData[[#This Row],[Team Number]], 'Robot Game Scores'!$B:$B,0))),0,INDEX('Robot Game Scores'!D:D,MATCH(TournamentData[[#This Row],[Team Number]], 'Robot Game Scores'!$B:$B,0))))</f>
        <v/>
      </c>
      <c r="E54" s="42" t="str">
        <f>IF(TournamentData[[#This Row],[Team Number]]="","",IF(ISNA(INDEX('Robot Game Scores'!E:E,MATCH(TournamentData[[#This Row],[Team Number]], 'Robot Game Scores'!$B:$B,0))),0,INDEX('Robot Game Scores'!E:E,MATCH(TournamentData[[#This Row],[Team Number]], 'Robot Game Scores'!$B:$B,0))))</f>
        <v/>
      </c>
      <c r="F54" s="42" t="str">
        <f>IF(TournamentData[[#This Row],[Team Number]]="","",IF(ISNA(INDEX('Robot Game Scores'!F:F,MATCH(TournamentData[[#This Row],[Team Number]], 'Robot Game Scores'!$B:$B,0))),0,INDEX('Robot Game Scores'!F:F,MATCH(TournamentData[[#This Row],[Team Number]], 'Robot Game Scores'!$B:$B,0))))</f>
        <v/>
      </c>
      <c r="G54" s="42" t="str">
        <f>IF(TournamentData[[#This Row],[Team Number]]="","",IF(ISNA(INDEX('Robot Game Scores'!G:G,MATCH(TournamentData[[#This Row],[Team Number]], 'Robot Game Scores'!$B:$B,0))),0,INDEX('Robot Game Scores'!G:G,MATCH(TournamentData[[#This Row],[Team Number]], 'Robot Game Scores'!$B:$B,0))))</f>
        <v/>
      </c>
      <c r="H5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4" s="42" t="str">
        <f>IF(TournamentData[[#This Row],[Team Number]]="","",_xlfn.RANK.EQ(TournamentData[[#This Row],[Max Robot Game Score]],TournamentData[Max Robot Game Score]))</f>
        <v/>
      </c>
      <c r="J5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4" s="43" t="str">
        <f>IF(TournamentData[[#This Row],[Team Number]]="","",IF(M54,RANK(M54,M$3:M$110,1)-COUNTIF(M$3:M$110,0),NumberOfTeams+1))</f>
        <v/>
      </c>
      <c r="O54" s="44">
        <f>IF(ISNA(INDEX(CoreValuesResults[Breakthrough Selection],MATCH(TournamentData[[#This Row],[Team Number]],CoreValuesResults[Team Number],0))),0, INDEX(CoreValuesResults[Breakthrough Selection],MATCH(TournamentData[[#This Row],[Team Number]],CoreValuesResults[Team Number],0)))</f>
        <v>0</v>
      </c>
      <c r="P54" s="44">
        <f>IF(ISNA(INDEX(CoreValuesResults[Rising All-Star Selection],MATCH(TournamentData[[#This Row],[Team Number]],CoreValuesResults[Team Number],0))),0, INDEX(CoreValuesResults[Rising All-Star Selection],MATCH(TournamentData[[#This Row],[Team Number]],CoreValuesResults[Team Number],0)))</f>
        <v>0</v>
      </c>
      <c r="Q54" s="44">
        <f>IF(ISNA(INDEX(CoreValuesResults[Motivate Selection],MATCH(TournamentData[[#This Row],[Team Number]],CoreValuesResults[Team Number],0))),0, INDEX(CoreValuesResults[Motivate Selection],MATCH(TournamentData[[#This Row],[Team Number]],CoreValuesResults[Team Number],0)))</f>
        <v>0</v>
      </c>
      <c r="T54" s="46"/>
      <c r="U54" s="40">
        <f>IF(ISNA(INDEX(CoreValuesResults[Core Values Score],MATCH(TournamentData[[#This Row],[Team Number]],CoreValuesResults[Team Number],0))),0,INDEX(CoreValuesResults[Core Values Score],MATCH(TournamentData[[#This Row],[Team Number]],CoreValuesResults[Team Number],0)))</f>
        <v>0</v>
      </c>
      <c r="V5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4" s="40">
        <f>IF(ISNA(INDEX(RobotDesignResults[Robot Design Score],MATCH(TournamentData[[#This Row],[Team Number]],RobotDesignResults[Team Number],0))),0,INDEX(RobotDesignResults[Robot Design Score],MATCH(TournamentData[[#This Row],[Team Number]],RobotDesignResults[Team Number],0)))</f>
        <v>0</v>
      </c>
      <c r="X5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4" s="48">
        <f t="shared" si="1"/>
        <v>0</v>
      </c>
      <c r="AC54" s="72"/>
      <c r="AD54" s="49"/>
      <c r="AE54" s="46"/>
    </row>
    <row r="55" spans="1:31" s="45" customFormat="1" ht="20.25" customHeight="1" x14ac:dyDescent="0.3">
      <c r="A55" s="40"/>
      <c r="B55" s="41" t="str">
        <f>IF(ISNA(INDEX(OfficialTeamList[Team Name],MATCH(TournamentData[[#This Row],[Team Number]], OfficialTeamList[Team Number],0))),"",INDEX(OfficialTeamList[Team Name],MATCH(TournamentData[[#This Row],[Team Number]], OfficialTeamList[Team Number],0)))</f>
        <v/>
      </c>
      <c r="C55" s="42" t="str">
        <f>IF(TournamentData[[#This Row],[Team Number]]="","",IF(ISNA(INDEX('Robot Game Scores'!C:C,MATCH(TournamentData[[#This Row],[Team Number]], 'Robot Game Scores'!$B:$B,0))),0,INDEX('Robot Game Scores'!C:C,MATCH(TournamentData[[#This Row],[Team Number]], 'Robot Game Scores'!$B:$B,0))))</f>
        <v/>
      </c>
      <c r="D55" s="42" t="str">
        <f>IF(TournamentData[[#This Row],[Team Number]]="","",IF(ISNA(INDEX('Robot Game Scores'!D:D,MATCH(TournamentData[[#This Row],[Team Number]], 'Robot Game Scores'!$B:$B,0))),0,INDEX('Robot Game Scores'!D:D,MATCH(TournamentData[[#This Row],[Team Number]], 'Robot Game Scores'!$B:$B,0))))</f>
        <v/>
      </c>
      <c r="E55" s="42" t="str">
        <f>IF(TournamentData[[#This Row],[Team Number]]="","",IF(ISNA(INDEX('Robot Game Scores'!E:E,MATCH(TournamentData[[#This Row],[Team Number]], 'Robot Game Scores'!$B:$B,0))),0,INDEX('Robot Game Scores'!E:E,MATCH(TournamentData[[#This Row],[Team Number]], 'Robot Game Scores'!$B:$B,0))))</f>
        <v/>
      </c>
      <c r="F55" s="42" t="str">
        <f>IF(TournamentData[[#This Row],[Team Number]]="","",IF(ISNA(INDEX('Robot Game Scores'!F:F,MATCH(TournamentData[[#This Row],[Team Number]], 'Robot Game Scores'!$B:$B,0))),0,INDEX('Robot Game Scores'!F:F,MATCH(TournamentData[[#This Row],[Team Number]], 'Robot Game Scores'!$B:$B,0))))</f>
        <v/>
      </c>
      <c r="G55" s="42" t="str">
        <f>IF(TournamentData[[#This Row],[Team Number]]="","",IF(ISNA(INDEX('Robot Game Scores'!G:G,MATCH(TournamentData[[#This Row],[Team Number]], 'Robot Game Scores'!$B:$B,0))),0,INDEX('Robot Game Scores'!G:G,MATCH(TournamentData[[#This Row],[Team Number]], 'Robot Game Scores'!$B:$B,0))))</f>
        <v/>
      </c>
      <c r="H5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5" s="42" t="str">
        <f>IF(TournamentData[[#This Row],[Team Number]]="","",_xlfn.RANK.EQ(TournamentData[[#This Row],[Max Robot Game Score]],TournamentData[Max Robot Game Score]))</f>
        <v/>
      </c>
      <c r="J5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5" s="43" t="str">
        <f>IF(TournamentData[[#This Row],[Team Number]]="","",IF(M55,RANK(M55,M$3:M$110,1)-COUNTIF(M$3:M$110,0),NumberOfTeams+1))</f>
        <v/>
      </c>
      <c r="O55" s="44">
        <f>IF(ISNA(INDEX(CoreValuesResults[Breakthrough Selection],MATCH(TournamentData[[#This Row],[Team Number]],CoreValuesResults[Team Number],0))),0, INDEX(CoreValuesResults[Breakthrough Selection],MATCH(TournamentData[[#This Row],[Team Number]],CoreValuesResults[Team Number],0)))</f>
        <v>0</v>
      </c>
      <c r="P55" s="44">
        <f>IF(ISNA(INDEX(CoreValuesResults[Rising All-Star Selection],MATCH(TournamentData[[#This Row],[Team Number]],CoreValuesResults[Team Number],0))),0, INDEX(CoreValuesResults[Rising All-Star Selection],MATCH(TournamentData[[#This Row],[Team Number]],CoreValuesResults[Team Number],0)))</f>
        <v>0</v>
      </c>
      <c r="Q55" s="44">
        <f>IF(ISNA(INDEX(CoreValuesResults[Motivate Selection],MATCH(TournamentData[[#This Row],[Team Number]],CoreValuesResults[Team Number],0))),0, INDEX(CoreValuesResults[Motivate Selection],MATCH(TournamentData[[#This Row],[Team Number]],CoreValuesResults[Team Number],0)))</f>
        <v>0</v>
      </c>
      <c r="T55" s="46"/>
      <c r="U55" s="40">
        <f>IF(ISNA(INDEX(CoreValuesResults[Core Values Score],MATCH(TournamentData[[#This Row],[Team Number]],CoreValuesResults[Team Number],0))),0,INDEX(CoreValuesResults[Core Values Score],MATCH(TournamentData[[#This Row],[Team Number]],CoreValuesResults[Team Number],0)))</f>
        <v>0</v>
      </c>
      <c r="V5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5" s="40">
        <f>IF(ISNA(INDEX(RobotDesignResults[Robot Design Score],MATCH(TournamentData[[#This Row],[Team Number]],RobotDesignResults[Team Number],0))),0,INDEX(RobotDesignResults[Robot Design Score],MATCH(TournamentData[[#This Row],[Team Number]],RobotDesignResults[Team Number],0)))</f>
        <v>0</v>
      </c>
      <c r="X5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5" s="48">
        <f t="shared" si="1"/>
        <v>0</v>
      </c>
      <c r="AC55" s="72"/>
      <c r="AD55" s="49"/>
      <c r="AE55" s="46"/>
    </row>
    <row r="56" spans="1:31" s="45" customFormat="1" ht="20.25" customHeight="1" x14ac:dyDescent="0.3">
      <c r="A56" s="40"/>
      <c r="B56" s="41" t="str">
        <f>IF(ISNA(INDEX(OfficialTeamList[Team Name],MATCH(TournamentData[[#This Row],[Team Number]], OfficialTeamList[Team Number],0))),"",INDEX(OfficialTeamList[Team Name],MATCH(TournamentData[[#This Row],[Team Number]], OfficialTeamList[Team Number],0)))</f>
        <v/>
      </c>
      <c r="C56" s="42" t="str">
        <f>IF(TournamentData[[#This Row],[Team Number]]="","",IF(ISNA(INDEX('Robot Game Scores'!C:C,MATCH(TournamentData[[#This Row],[Team Number]], 'Robot Game Scores'!$B:$B,0))),0,INDEX('Robot Game Scores'!C:C,MATCH(TournamentData[[#This Row],[Team Number]], 'Robot Game Scores'!$B:$B,0))))</f>
        <v/>
      </c>
      <c r="D56" s="42" t="str">
        <f>IF(TournamentData[[#This Row],[Team Number]]="","",IF(ISNA(INDEX('Robot Game Scores'!D:D,MATCH(TournamentData[[#This Row],[Team Number]], 'Robot Game Scores'!$B:$B,0))),0,INDEX('Robot Game Scores'!D:D,MATCH(TournamentData[[#This Row],[Team Number]], 'Robot Game Scores'!$B:$B,0))))</f>
        <v/>
      </c>
      <c r="E56" s="42" t="str">
        <f>IF(TournamentData[[#This Row],[Team Number]]="","",IF(ISNA(INDEX('Robot Game Scores'!E:E,MATCH(TournamentData[[#This Row],[Team Number]], 'Robot Game Scores'!$B:$B,0))),0,INDEX('Robot Game Scores'!E:E,MATCH(TournamentData[[#This Row],[Team Number]], 'Robot Game Scores'!$B:$B,0))))</f>
        <v/>
      </c>
      <c r="F56" s="42" t="str">
        <f>IF(TournamentData[[#This Row],[Team Number]]="","",IF(ISNA(INDEX('Robot Game Scores'!F:F,MATCH(TournamentData[[#This Row],[Team Number]], 'Robot Game Scores'!$B:$B,0))),0,INDEX('Robot Game Scores'!F:F,MATCH(TournamentData[[#This Row],[Team Number]], 'Robot Game Scores'!$B:$B,0))))</f>
        <v/>
      </c>
      <c r="G56" s="42" t="str">
        <f>IF(TournamentData[[#This Row],[Team Number]]="","",IF(ISNA(INDEX('Robot Game Scores'!G:G,MATCH(TournamentData[[#This Row],[Team Number]], 'Robot Game Scores'!$B:$B,0))),0,INDEX('Robot Game Scores'!G:G,MATCH(TournamentData[[#This Row],[Team Number]], 'Robot Game Scores'!$B:$B,0))))</f>
        <v/>
      </c>
      <c r="H5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6" s="42" t="str">
        <f>IF(TournamentData[[#This Row],[Team Number]]="","",_xlfn.RANK.EQ(TournamentData[[#This Row],[Max Robot Game Score]],TournamentData[Max Robot Game Score]))</f>
        <v/>
      </c>
      <c r="J5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6" s="43" t="str">
        <f>IF(TournamentData[[#This Row],[Team Number]]="","",IF(M56,RANK(M56,M$3:M$110,1)-COUNTIF(M$3:M$110,0),NumberOfTeams+1))</f>
        <v/>
      </c>
      <c r="O56" s="44">
        <f>IF(ISNA(INDEX(CoreValuesResults[Breakthrough Selection],MATCH(TournamentData[[#This Row],[Team Number]],CoreValuesResults[Team Number],0))),0, INDEX(CoreValuesResults[Breakthrough Selection],MATCH(TournamentData[[#This Row],[Team Number]],CoreValuesResults[Team Number],0)))</f>
        <v>0</v>
      </c>
      <c r="P56" s="44">
        <f>IF(ISNA(INDEX(CoreValuesResults[Rising All-Star Selection],MATCH(TournamentData[[#This Row],[Team Number]],CoreValuesResults[Team Number],0))),0, INDEX(CoreValuesResults[Rising All-Star Selection],MATCH(TournamentData[[#This Row],[Team Number]],CoreValuesResults[Team Number],0)))</f>
        <v>0</v>
      </c>
      <c r="Q56" s="44">
        <f>IF(ISNA(INDEX(CoreValuesResults[Motivate Selection],MATCH(TournamentData[[#This Row],[Team Number]],CoreValuesResults[Team Number],0))),0, INDEX(CoreValuesResults[Motivate Selection],MATCH(TournamentData[[#This Row],[Team Number]],CoreValuesResults[Team Number],0)))</f>
        <v>0</v>
      </c>
      <c r="T56" s="46"/>
      <c r="U56" s="40">
        <f>IF(ISNA(INDEX(CoreValuesResults[Core Values Score],MATCH(TournamentData[[#This Row],[Team Number]],CoreValuesResults[Team Number],0))),0,INDEX(CoreValuesResults[Core Values Score],MATCH(TournamentData[[#This Row],[Team Number]],CoreValuesResults[Team Number],0)))</f>
        <v>0</v>
      </c>
      <c r="V5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6" s="40">
        <f>IF(ISNA(INDEX(RobotDesignResults[Robot Design Score],MATCH(TournamentData[[#This Row],[Team Number]],RobotDesignResults[Team Number],0))),0,INDEX(RobotDesignResults[Robot Design Score],MATCH(TournamentData[[#This Row],[Team Number]],RobotDesignResults[Team Number],0)))</f>
        <v>0</v>
      </c>
      <c r="X5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6" s="48">
        <f t="shared" si="1"/>
        <v>0</v>
      </c>
      <c r="AC56" s="72"/>
      <c r="AD56" s="49"/>
      <c r="AE56" s="46"/>
    </row>
    <row r="57" spans="1:31" s="45" customFormat="1" ht="20.25" customHeight="1" x14ac:dyDescent="0.3">
      <c r="A57" s="40"/>
      <c r="B57" s="41" t="str">
        <f>IF(ISNA(INDEX(OfficialTeamList[Team Name],MATCH(TournamentData[[#This Row],[Team Number]], OfficialTeamList[Team Number],0))),"",INDEX(OfficialTeamList[Team Name],MATCH(TournamentData[[#This Row],[Team Number]], OfficialTeamList[Team Number],0)))</f>
        <v/>
      </c>
      <c r="C57" s="42" t="str">
        <f>IF(TournamentData[[#This Row],[Team Number]]="","",IF(ISNA(INDEX('Robot Game Scores'!C:C,MATCH(TournamentData[[#This Row],[Team Number]], 'Robot Game Scores'!$B:$B,0))),0,INDEX('Robot Game Scores'!C:C,MATCH(TournamentData[[#This Row],[Team Number]], 'Robot Game Scores'!$B:$B,0))))</f>
        <v/>
      </c>
      <c r="D57" s="42" t="str">
        <f>IF(TournamentData[[#This Row],[Team Number]]="","",IF(ISNA(INDEX('Robot Game Scores'!D:D,MATCH(TournamentData[[#This Row],[Team Number]], 'Robot Game Scores'!$B:$B,0))),0,INDEX('Robot Game Scores'!D:D,MATCH(TournamentData[[#This Row],[Team Number]], 'Robot Game Scores'!$B:$B,0))))</f>
        <v/>
      </c>
      <c r="E57" s="42" t="str">
        <f>IF(TournamentData[[#This Row],[Team Number]]="","",IF(ISNA(INDEX('Robot Game Scores'!E:E,MATCH(TournamentData[[#This Row],[Team Number]], 'Robot Game Scores'!$B:$B,0))),0,INDEX('Robot Game Scores'!E:E,MATCH(TournamentData[[#This Row],[Team Number]], 'Robot Game Scores'!$B:$B,0))))</f>
        <v/>
      </c>
      <c r="F57" s="42" t="str">
        <f>IF(TournamentData[[#This Row],[Team Number]]="","",IF(ISNA(INDEX('Robot Game Scores'!F:F,MATCH(TournamentData[[#This Row],[Team Number]], 'Robot Game Scores'!$B:$B,0))),0,INDEX('Robot Game Scores'!F:F,MATCH(TournamentData[[#This Row],[Team Number]], 'Robot Game Scores'!$B:$B,0))))</f>
        <v/>
      </c>
      <c r="G57" s="42" t="str">
        <f>IF(TournamentData[[#This Row],[Team Number]]="","",IF(ISNA(INDEX('Robot Game Scores'!G:G,MATCH(TournamentData[[#This Row],[Team Number]], 'Robot Game Scores'!$B:$B,0))),0,INDEX('Robot Game Scores'!G:G,MATCH(TournamentData[[#This Row],[Team Number]], 'Robot Game Scores'!$B:$B,0))))</f>
        <v/>
      </c>
      <c r="H5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7" s="42" t="str">
        <f>IF(TournamentData[[#This Row],[Team Number]]="","",_xlfn.RANK.EQ(TournamentData[[#This Row],[Max Robot Game Score]],TournamentData[Max Robot Game Score]))</f>
        <v/>
      </c>
      <c r="J5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7" s="43" t="str">
        <f>IF(TournamentData[[#This Row],[Team Number]]="","",IF(M57,RANK(M57,M$3:M$110,1)-COUNTIF(M$3:M$110,0),NumberOfTeams+1))</f>
        <v/>
      </c>
      <c r="O57" s="44">
        <f>IF(ISNA(INDEX(CoreValuesResults[Breakthrough Selection],MATCH(TournamentData[[#This Row],[Team Number]],CoreValuesResults[Team Number],0))),0, INDEX(CoreValuesResults[Breakthrough Selection],MATCH(TournamentData[[#This Row],[Team Number]],CoreValuesResults[Team Number],0)))</f>
        <v>0</v>
      </c>
      <c r="P57" s="44">
        <f>IF(ISNA(INDEX(CoreValuesResults[Rising All-Star Selection],MATCH(TournamentData[[#This Row],[Team Number]],CoreValuesResults[Team Number],0))),0, INDEX(CoreValuesResults[Rising All-Star Selection],MATCH(TournamentData[[#This Row],[Team Number]],CoreValuesResults[Team Number],0)))</f>
        <v>0</v>
      </c>
      <c r="Q57" s="44">
        <f>IF(ISNA(INDEX(CoreValuesResults[Motivate Selection],MATCH(TournamentData[[#This Row],[Team Number]],CoreValuesResults[Team Number],0))),0, INDEX(CoreValuesResults[Motivate Selection],MATCH(TournamentData[[#This Row],[Team Number]],CoreValuesResults[Team Number],0)))</f>
        <v>0</v>
      </c>
      <c r="T57" s="46"/>
      <c r="U57" s="40">
        <f>IF(ISNA(INDEX(CoreValuesResults[Core Values Score],MATCH(TournamentData[[#This Row],[Team Number]],CoreValuesResults[Team Number],0))),0,INDEX(CoreValuesResults[Core Values Score],MATCH(TournamentData[[#This Row],[Team Number]],CoreValuesResults[Team Number],0)))</f>
        <v>0</v>
      </c>
      <c r="V5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7" s="40">
        <f>IF(ISNA(INDEX(RobotDesignResults[Robot Design Score],MATCH(TournamentData[[#This Row],[Team Number]],RobotDesignResults[Team Number],0))),0,INDEX(RobotDesignResults[Robot Design Score],MATCH(TournamentData[[#This Row],[Team Number]],RobotDesignResults[Team Number],0)))</f>
        <v>0</v>
      </c>
      <c r="X5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7" s="48">
        <f t="shared" si="1"/>
        <v>0</v>
      </c>
      <c r="AC57" s="72"/>
      <c r="AD57" s="49"/>
      <c r="AE57" s="46"/>
    </row>
    <row r="58" spans="1:31" s="45" customFormat="1" ht="20.25" customHeight="1" x14ac:dyDescent="0.3">
      <c r="A58" s="40"/>
      <c r="B58" s="41" t="str">
        <f>IF(ISNA(INDEX(OfficialTeamList[Team Name],MATCH(TournamentData[[#This Row],[Team Number]], OfficialTeamList[Team Number],0))),"",INDEX(OfficialTeamList[Team Name],MATCH(TournamentData[[#This Row],[Team Number]], OfficialTeamList[Team Number],0)))</f>
        <v/>
      </c>
      <c r="C58" s="42" t="str">
        <f>IF(TournamentData[[#This Row],[Team Number]]="","",IF(ISNA(INDEX('Robot Game Scores'!C:C,MATCH(TournamentData[[#This Row],[Team Number]], 'Robot Game Scores'!$B:$B,0))),0,INDEX('Robot Game Scores'!C:C,MATCH(TournamentData[[#This Row],[Team Number]], 'Robot Game Scores'!$B:$B,0))))</f>
        <v/>
      </c>
      <c r="D58" s="42" t="str">
        <f>IF(TournamentData[[#This Row],[Team Number]]="","",IF(ISNA(INDEX('Robot Game Scores'!D:D,MATCH(TournamentData[[#This Row],[Team Number]], 'Robot Game Scores'!$B:$B,0))),0,INDEX('Robot Game Scores'!D:D,MATCH(TournamentData[[#This Row],[Team Number]], 'Robot Game Scores'!$B:$B,0))))</f>
        <v/>
      </c>
      <c r="E58" s="42" t="str">
        <f>IF(TournamentData[[#This Row],[Team Number]]="","",IF(ISNA(INDEX('Robot Game Scores'!E:E,MATCH(TournamentData[[#This Row],[Team Number]], 'Robot Game Scores'!$B:$B,0))),0,INDEX('Robot Game Scores'!E:E,MATCH(TournamentData[[#This Row],[Team Number]], 'Robot Game Scores'!$B:$B,0))))</f>
        <v/>
      </c>
      <c r="F58" s="42" t="str">
        <f>IF(TournamentData[[#This Row],[Team Number]]="","",IF(ISNA(INDEX('Robot Game Scores'!F:F,MATCH(TournamentData[[#This Row],[Team Number]], 'Robot Game Scores'!$B:$B,0))),0,INDEX('Robot Game Scores'!F:F,MATCH(TournamentData[[#This Row],[Team Number]], 'Robot Game Scores'!$B:$B,0))))</f>
        <v/>
      </c>
      <c r="G58" s="42" t="str">
        <f>IF(TournamentData[[#This Row],[Team Number]]="","",IF(ISNA(INDEX('Robot Game Scores'!G:G,MATCH(TournamentData[[#This Row],[Team Number]], 'Robot Game Scores'!$B:$B,0))),0,INDEX('Robot Game Scores'!G:G,MATCH(TournamentData[[#This Row],[Team Number]], 'Robot Game Scores'!$B:$B,0))))</f>
        <v/>
      </c>
      <c r="H5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8" s="42" t="str">
        <f>IF(TournamentData[[#This Row],[Team Number]]="","",_xlfn.RANK.EQ(TournamentData[[#This Row],[Max Robot Game Score]],TournamentData[Max Robot Game Score]))</f>
        <v/>
      </c>
      <c r="J5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8" s="43" t="str">
        <f>IF(TournamentData[[#This Row],[Team Number]]="","",IF(M58,RANK(M58,M$3:M$110,1)-COUNTIF(M$3:M$110,0),NumberOfTeams+1))</f>
        <v/>
      </c>
      <c r="O58" s="44">
        <f>IF(ISNA(INDEX(CoreValuesResults[Breakthrough Selection],MATCH(TournamentData[[#This Row],[Team Number]],CoreValuesResults[Team Number],0))),0, INDEX(CoreValuesResults[Breakthrough Selection],MATCH(TournamentData[[#This Row],[Team Number]],CoreValuesResults[Team Number],0)))</f>
        <v>0</v>
      </c>
      <c r="P58" s="44">
        <f>IF(ISNA(INDEX(CoreValuesResults[Rising All-Star Selection],MATCH(TournamentData[[#This Row],[Team Number]],CoreValuesResults[Team Number],0))),0, INDEX(CoreValuesResults[Rising All-Star Selection],MATCH(TournamentData[[#This Row],[Team Number]],CoreValuesResults[Team Number],0)))</f>
        <v>0</v>
      </c>
      <c r="Q58" s="44">
        <f>IF(ISNA(INDEX(CoreValuesResults[Motivate Selection],MATCH(TournamentData[[#This Row],[Team Number]],CoreValuesResults[Team Number],0))),0, INDEX(CoreValuesResults[Motivate Selection],MATCH(TournamentData[[#This Row],[Team Number]],CoreValuesResults[Team Number],0)))</f>
        <v>0</v>
      </c>
      <c r="T58" s="46"/>
      <c r="U58" s="40">
        <f>IF(ISNA(INDEX(CoreValuesResults[Core Values Score],MATCH(TournamentData[[#This Row],[Team Number]],CoreValuesResults[Team Number],0))),0,INDEX(CoreValuesResults[Core Values Score],MATCH(TournamentData[[#This Row],[Team Number]],CoreValuesResults[Team Number],0)))</f>
        <v>0</v>
      </c>
      <c r="V5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8" s="40">
        <f>IF(ISNA(INDEX(RobotDesignResults[Robot Design Score],MATCH(TournamentData[[#This Row],[Team Number]],RobotDesignResults[Team Number],0))),0,INDEX(RobotDesignResults[Robot Design Score],MATCH(TournamentData[[#This Row],[Team Number]],RobotDesignResults[Team Number],0)))</f>
        <v>0</v>
      </c>
      <c r="X5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8" s="48">
        <f t="shared" si="1"/>
        <v>0</v>
      </c>
      <c r="AC58" s="72"/>
      <c r="AD58" s="49"/>
      <c r="AE58" s="46"/>
    </row>
    <row r="59" spans="1:31" s="45" customFormat="1" ht="20.25" customHeight="1" x14ac:dyDescent="0.3">
      <c r="A59" s="40"/>
      <c r="B59" s="41" t="str">
        <f>IF(ISNA(INDEX(OfficialTeamList[Team Name],MATCH(TournamentData[[#This Row],[Team Number]], OfficialTeamList[Team Number],0))),"",INDEX(OfficialTeamList[Team Name],MATCH(TournamentData[[#This Row],[Team Number]], OfficialTeamList[Team Number],0)))</f>
        <v/>
      </c>
      <c r="C59" s="42" t="str">
        <f>IF(TournamentData[[#This Row],[Team Number]]="","",IF(ISNA(INDEX('Robot Game Scores'!C:C,MATCH(TournamentData[[#This Row],[Team Number]], 'Robot Game Scores'!$B:$B,0))),0,INDEX('Robot Game Scores'!C:C,MATCH(TournamentData[[#This Row],[Team Number]], 'Robot Game Scores'!$B:$B,0))))</f>
        <v/>
      </c>
      <c r="D59" s="42" t="str">
        <f>IF(TournamentData[[#This Row],[Team Number]]="","",IF(ISNA(INDEX('Robot Game Scores'!D:D,MATCH(TournamentData[[#This Row],[Team Number]], 'Robot Game Scores'!$B:$B,0))),0,INDEX('Robot Game Scores'!D:D,MATCH(TournamentData[[#This Row],[Team Number]], 'Robot Game Scores'!$B:$B,0))))</f>
        <v/>
      </c>
      <c r="E59" s="42" t="str">
        <f>IF(TournamentData[[#This Row],[Team Number]]="","",IF(ISNA(INDEX('Robot Game Scores'!E:E,MATCH(TournamentData[[#This Row],[Team Number]], 'Robot Game Scores'!$B:$B,0))),0,INDEX('Robot Game Scores'!E:E,MATCH(TournamentData[[#This Row],[Team Number]], 'Robot Game Scores'!$B:$B,0))))</f>
        <v/>
      </c>
      <c r="F59" s="42" t="str">
        <f>IF(TournamentData[[#This Row],[Team Number]]="","",IF(ISNA(INDEX('Robot Game Scores'!F:F,MATCH(TournamentData[[#This Row],[Team Number]], 'Robot Game Scores'!$B:$B,0))),0,INDEX('Robot Game Scores'!F:F,MATCH(TournamentData[[#This Row],[Team Number]], 'Robot Game Scores'!$B:$B,0))))</f>
        <v/>
      </c>
      <c r="G59" s="42" t="str">
        <f>IF(TournamentData[[#This Row],[Team Number]]="","",IF(ISNA(INDEX('Robot Game Scores'!G:G,MATCH(TournamentData[[#This Row],[Team Number]], 'Robot Game Scores'!$B:$B,0))),0,INDEX('Robot Game Scores'!G:G,MATCH(TournamentData[[#This Row],[Team Number]], 'Robot Game Scores'!$B:$B,0))))</f>
        <v/>
      </c>
      <c r="H5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9" s="42" t="str">
        <f>IF(TournamentData[[#This Row],[Team Number]]="","",_xlfn.RANK.EQ(TournamentData[[#This Row],[Max Robot Game Score]],TournamentData[Max Robot Game Score]))</f>
        <v/>
      </c>
      <c r="J5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5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9" s="43" t="str">
        <f>IF(TournamentData[[#This Row],[Team Number]]="","",IF(M59,RANK(M59,M$3:M$110,1)-COUNTIF(M$3:M$110,0),NumberOfTeams+1))</f>
        <v/>
      </c>
      <c r="O59" s="44">
        <f>IF(ISNA(INDEX(CoreValuesResults[Breakthrough Selection],MATCH(TournamentData[[#This Row],[Team Number]],CoreValuesResults[Team Number],0))),0, INDEX(CoreValuesResults[Breakthrough Selection],MATCH(TournamentData[[#This Row],[Team Number]],CoreValuesResults[Team Number],0)))</f>
        <v>0</v>
      </c>
      <c r="P59" s="44">
        <f>IF(ISNA(INDEX(CoreValuesResults[Rising All-Star Selection],MATCH(TournamentData[[#This Row],[Team Number]],CoreValuesResults[Team Number],0))),0, INDEX(CoreValuesResults[Rising All-Star Selection],MATCH(TournamentData[[#This Row],[Team Number]],CoreValuesResults[Team Number],0)))</f>
        <v>0</v>
      </c>
      <c r="Q59" s="44">
        <f>IF(ISNA(INDEX(CoreValuesResults[Motivate Selection],MATCH(TournamentData[[#This Row],[Team Number]],CoreValuesResults[Team Number],0))),0, INDEX(CoreValuesResults[Motivate Selection],MATCH(TournamentData[[#This Row],[Team Number]],CoreValuesResults[Team Number],0)))</f>
        <v>0</v>
      </c>
      <c r="T59" s="46"/>
      <c r="U59" s="40">
        <f>IF(ISNA(INDEX(CoreValuesResults[Core Values Score],MATCH(TournamentData[[#This Row],[Team Number]],CoreValuesResults[Team Number],0))),0,INDEX(CoreValuesResults[Core Values Score],MATCH(TournamentData[[#This Row],[Team Number]],CoreValuesResults[Team Number],0)))</f>
        <v>0</v>
      </c>
      <c r="V5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59" s="40">
        <f>IF(ISNA(INDEX(RobotDesignResults[Robot Design Score],MATCH(TournamentData[[#This Row],[Team Number]],RobotDesignResults[Team Number],0))),0,INDEX(RobotDesignResults[Robot Design Score],MATCH(TournamentData[[#This Row],[Team Number]],RobotDesignResults[Team Number],0)))</f>
        <v>0</v>
      </c>
      <c r="X5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59" s="48">
        <f t="shared" si="1"/>
        <v>0</v>
      </c>
      <c r="AC59" s="72"/>
      <c r="AD59" s="49"/>
      <c r="AE59" s="46"/>
    </row>
    <row r="60" spans="1:31" s="45" customFormat="1" ht="20.25" customHeight="1" x14ac:dyDescent="0.3">
      <c r="A60" s="40"/>
      <c r="B60" s="41" t="str">
        <f>IF(ISNA(INDEX(OfficialTeamList[Team Name],MATCH(TournamentData[[#This Row],[Team Number]], OfficialTeamList[Team Number],0))),"",INDEX(OfficialTeamList[Team Name],MATCH(TournamentData[[#This Row],[Team Number]], OfficialTeamList[Team Number],0)))</f>
        <v/>
      </c>
      <c r="C60" s="42" t="str">
        <f>IF(TournamentData[[#This Row],[Team Number]]="","",IF(ISNA(INDEX('Robot Game Scores'!C:C,MATCH(TournamentData[[#This Row],[Team Number]], 'Robot Game Scores'!$B:$B,0))),0,INDEX('Robot Game Scores'!C:C,MATCH(TournamentData[[#This Row],[Team Number]], 'Robot Game Scores'!$B:$B,0))))</f>
        <v/>
      </c>
      <c r="D60" s="42" t="str">
        <f>IF(TournamentData[[#This Row],[Team Number]]="","",IF(ISNA(INDEX('Robot Game Scores'!D:D,MATCH(TournamentData[[#This Row],[Team Number]], 'Robot Game Scores'!$B:$B,0))),0,INDEX('Robot Game Scores'!D:D,MATCH(TournamentData[[#This Row],[Team Number]], 'Robot Game Scores'!$B:$B,0))))</f>
        <v/>
      </c>
      <c r="E60" s="42" t="str">
        <f>IF(TournamentData[[#This Row],[Team Number]]="","",IF(ISNA(INDEX('Robot Game Scores'!E:E,MATCH(TournamentData[[#This Row],[Team Number]], 'Robot Game Scores'!$B:$B,0))),0,INDEX('Robot Game Scores'!E:E,MATCH(TournamentData[[#This Row],[Team Number]], 'Robot Game Scores'!$B:$B,0))))</f>
        <v/>
      </c>
      <c r="F60" s="42" t="str">
        <f>IF(TournamentData[[#This Row],[Team Number]]="","",IF(ISNA(INDEX('Robot Game Scores'!F:F,MATCH(TournamentData[[#This Row],[Team Number]], 'Robot Game Scores'!$B:$B,0))),0,INDEX('Robot Game Scores'!F:F,MATCH(TournamentData[[#This Row],[Team Number]], 'Robot Game Scores'!$B:$B,0))))</f>
        <v/>
      </c>
      <c r="G60" s="42" t="str">
        <f>IF(TournamentData[[#This Row],[Team Number]]="","",IF(ISNA(INDEX('Robot Game Scores'!G:G,MATCH(TournamentData[[#This Row],[Team Number]], 'Robot Game Scores'!$B:$B,0))),0,INDEX('Robot Game Scores'!G:G,MATCH(TournamentData[[#This Row],[Team Number]], 'Robot Game Scores'!$B:$B,0))))</f>
        <v/>
      </c>
      <c r="H6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0" s="42" t="str">
        <f>IF(TournamentData[[#This Row],[Team Number]]="","",_xlfn.RANK.EQ(TournamentData[[#This Row],[Max Robot Game Score]],TournamentData[Max Robot Game Score]))</f>
        <v/>
      </c>
      <c r="J6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0" s="43" t="str">
        <f>IF(TournamentData[[#This Row],[Team Number]]="","",IF(M60,RANK(M60,M$3:M$110,1)-COUNTIF(M$3:M$110,0),NumberOfTeams+1))</f>
        <v/>
      </c>
      <c r="O60" s="44">
        <f>IF(ISNA(INDEX(CoreValuesResults[Breakthrough Selection],MATCH(TournamentData[[#This Row],[Team Number]],CoreValuesResults[Team Number],0))),0, INDEX(CoreValuesResults[Breakthrough Selection],MATCH(TournamentData[[#This Row],[Team Number]],CoreValuesResults[Team Number],0)))</f>
        <v>0</v>
      </c>
      <c r="P60" s="44">
        <f>IF(ISNA(INDEX(CoreValuesResults[Rising All-Star Selection],MATCH(TournamentData[[#This Row],[Team Number]],CoreValuesResults[Team Number],0))),0, INDEX(CoreValuesResults[Rising All-Star Selection],MATCH(TournamentData[[#This Row],[Team Number]],CoreValuesResults[Team Number],0)))</f>
        <v>0</v>
      </c>
      <c r="Q60" s="44">
        <f>IF(ISNA(INDEX(CoreValuesResults[Motivate Selection],MATCH(TournamentData[[#This Row],[Team Number]],CoreValuesResults[Team Number],0))),0, INDEX(CoreValuesResults[Motivate Selection],MATCH(TournamentData[[#This Row],[Team Number]],CoreValuesResults[Team Number],0)))</f>
        <v>0</v>
      </c>
      <c r="T60" s="46"/>
      <c r="U60" s="40">
        <f>IF(ISNA(INDEX(CoreValuesResults[Core Values Score],MATCH(TournamentData[[#This Row],[Team Number]],CoreValuesResults[Team Number],0))),0,INDEX(CoreValuesResults[Core Values Score],MATCH(TournamentData[[#This Row],[Team Number]],CoreValuesResults[Team Number],0)))</f>
        <v>0</v>
      </c>
      <c r="V6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0" s="40">
        <f>IF(ISNA(INDEX(RobotDesignResults[Robot Design Score],MATCH(TournamentData[[#This Row],[Team Number]],RobotDesignResults[Team Number],0))),0,INDEX(RobotDesignResults[Robot Design Score],MATCH(TournamentData[[#This Row],[Team Number]],RobotDesignResults[Team Number],0)))</f>
        <v>0</v>
      </c>
      <c r="X6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0" s="48">
        <f t="shared" si="1"/>
        <v>0</v>
      </c>
      <c r="AC60" s="72"/>
      <c r="AD60" s="49"/>
      <c r="AE60" s="46"/>
    </row>
    <row r="61" spans="1:31" s="45" customFormat="1" ht="20.25" customHeight="1" x14ac:dyDescent="0.3">
      <c r="A61" s="40"/>
      <c r="B61" s="41" t="str">
        <f>IF(ISNA(INDEX(OfficialTeamList[Team Name],MATCH(TournamentData[[#This Row],[Team Number]], OfficialTeamList[Team Number],0))),"",INDEX(OfficialTeamList[Team Name],MATCH(TournamentData[[#This Row],[Team Number]], OfficialTeamList[Team Number],0)))</f>
        <v/>
      </c>
      <c r="C61" s="42" t="str">
        <f>IF(TournamentData[[#This Row],[Team Number]]="","",IF(ISNA(INDEX('Robot Game Scores'!C:C,MATCH(TournamentData[[#This Row],[Team Number]], 'Robot Game Scores'!$B:$B,0))),0,INDEX('Robot Game Scores'!C:C,MATCH(TournamentData[[#This Row],[Team Number]], 'Robot Game Scores'!$B:$B,0))))</f>
        <v/>
      </c>
      <c r="D61" s="42" t="str">
        <f>IF(TournamentData[[#This Row],[Team Number]]="","",IF(ISNA(INDEX('Robot Game Scores'!D:D,MATCH(TournamentData[[#This Row],[Team Number]], 'Robot Game Scores'!$B:$B,0))),0,INDEX('Robot Game Scores'!D:D,MATCH(TournamentData[[#This Row],[Team Number]], 'Robot Game Scores'!$B:$B,0))))</f>
        <v/>
      </c>
      <c r="E61" s="42" t="str">
        <f>IF(TournamentData[[#This Row],[Team Number]]="","",IF(ISNA(INDEX('Robot Game Scores'!E:E,MATCH(TournamentData[[#This Row],[Team Number]], 'Robot Game Scores'!$B:$B,0))),0,INDEX('Robot Game Scores'!E:E,MATCH(TournamentData[[#This Row],[Team Number]], 'Robot Game Scores'!$B:$B,0))))</f>
        <v/>
      </c>
      <c r="F61" s="42" t="str">
        <f>IF(TournamentData[[#This Row],[Team Number]]="","",IF(ISNA(INDEX('Robot Game Scores'!F:F,MATCH(TournamentData[[#This Row],[Team Number]], 'Robot Game Scores'!$B:$B,0))),0,INDEX('Robot Game Scores'!F:F,MATCH(TournamentData[[#This Row],[Team Number]], 'Robot Game Scores'!$B:$B,0))))</f>
        <v/>
      </c>
      <c r="G61" s="42" t="str">
        <f>IF(TournamentData[[#This Row],[Team Number]]="","",IF(ISNA(INDEX('Robot Game Scores'!G:G,MATCH(TournamentData[[#This Row],[Team Number]], 'Robot Game Scores'!$B:$B,0))),0,INDEX('Robot Game Scores'!G:G,MATCH(TournamentData[[#This Row],[Team Number]], 'Robot Game Scores'!$B:$B,0))))</f>
        <v/>
      </c>
      <c r="H6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1" s="42" t="str">
        <f>IF(TournamentData[[#This Row],[Team Number]]="","",_xlfn.RANK.EQ(TournamentData[[#This Row],[Max Robot Game Score]],TournamentData[Max Robot Game Score]))</f>
        <v/>
      </c>
      <c r="J6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1" s="43" t="str">
        <f>IF(TournamentData[[#This Row],[Team Number]]="","",IF(M61,RANK(M61,M$3:M$110,1)-COUNTIF(M$3:M$110,0),NumberOfTeams+1))</f>
        <v/>
      </c>
      <c r="O61" s="44">
        <f>IF(ISNA(INDEX(CoreValuesResults[Breakthrough Selection],MATCH(TournamentData[[#This Row],[Team Number]],CoreValuesResults[Team Number],0))),0, INDEX(CoreValuesResults[Breakthrough Selection],MATCH(TournamentData[[#This Row],[Team Number]],CoreValuesResults[Team Number],0)))</f>
        <v>0</v>
      </c>
      <c r="P61" s="44">
        <f>IF(ISNA(INDEX(CoreValuesResults[Rising All-Star Selection],MATCH(TournamentData[[#This Row],[Team Number]],CoreValuesResults[Team Number],0))),0, INDEX(CoreValuesResults[Rising All-Star Selection],MATCH(TournamentData[[#This Row],[Team Number]],CoreValuesResults[Team Number],0)))</f>
        <v>0</v>
      </c>
      <c r="Q61" s="44">
        <f>IF(ISNA(INDEX(CoreValuesResults[Motivate Selection],MATCH(TournamentData[[#This Row],[Team Number]],CoreValuesResults[Team Number],0))),0, INDEX(CoreValuesResults[Motivate Selection],MATCH(TournamentData[[#This Row],[Team Number]],CoreValuesResults[Team Number],0)))</f>
        <v>0</v>
      </c>
      <c r="T61" s="46"/>
      <c r="U61" s="40">
        <f>IF(ISNA(INDEX(CoreValuesResults[Core Values Score],MATCH(TournamentData[[#This Row],[Team Number]],CoreValuesResults[Team Number],0))),0,INDEX(CoreValuesResults[Core Values Score],MATCH(TournamentData[[#This Row],[Team Number]],CoreValuesResults[Team Number],0)))</f>
        <v>0</v>
      </c>
      <c r="V6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1" s="40">
        <f>IF(ISNA(INDEX(RobotDesignResults[Robot Design Score],MATCH(TournamentData[[#This Row],[Team Number]],RobotDesignResults[Team Number],0))),0,INDEX(RobotDesignResults[Robot Design Score],MATCH(TournamentData[[#This Row],[Team Number]],RobotDesignResults[Team Number],0)))</f>
        <v>0</v>
      </c>
      <c r="X6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1" s="48">
        <f t="shared" si="1"/>
        <v>0</v>
      </c>
      <c r="AC61" s="72"/>
      <c r="AD61" s="49"/>
      <c r="AE61" s="46"/>
    </row>
    <row r="62" spans="1:31" s="45" customFormat="1" ht="20.25" customHeight="1" x14ac:dyDescent="0.3">
      <c r="A62" s="40"/>
      <c r="B62" s="41" t="str">
        <f>IF(ISNA(INDEX(OfficialTeamList[Team Name],MATCH(TournamentData[[#This Row],[Team Number]], OfficialTeamList[Team Number],0))),"",INDEX(OfficialTeamList[Team Name],MATCH(TournamentData[[#This Row],[Team Number]], OfficialTeamList[Team Number],0)))</f>
        <v/>
      </c>
      <c r="C62" s="42" t="str">
        <f>IF(TournamentData[[#This Row],[Team Number]]="","",IF(ISNA(INDEX('Robot Game Scores'!C:C,MATCH(TournamentData[[#This Row],[Team Number]], 'Robot Game Scores'!$B:$B,0))),0,INDEX('Robot Game Scores'!C:C,MATCH(TournamentData[[#This Row],[Team Number]], 'Robot Game Scores'!$B:$B,0))))</f>
        <v/>
      </c>
      <c r="D62" s="42" t="str">
        <f>IF(TournamentData[[#This Row],[Team Number]]="","",IF(ISNA(INDEX('Robot Game Scores'!D:D,MATCH(TournamentData[[#This Row],[Team Number]], 'Robot Game Scores'!$B:$B,0))),0,INDEX('Robot Game Scores'!D:D,MATCH(TournamentData[[#This Row],[Team Number]], 'Robot Game Scores'!$B:$B,0))))</f>
        <v/>
      </c>
      <c r="E62" s="42" t="str">
        <f>IF(TournamentData[[#This Row],[Team Number]]="","",IF(ISNA(INDEX('Robot Game Scores'!E:E,MATCH(TournamentData[[#This Row],[Team Number]], 'Robot Game Scores'!$B:$B,0))),0,INDEX('Robot Game Scores'!E:E,MATCH(TournamentData[[#This Row],[Team Number]], 'Robot Game Scores'!$B:$B,0))))</f>
        <v/>
      </c>
      <c r="F62" s="42" t="str">
        <f>IF(TournamentData[[#This Row],[Team Number]]="","",IF(ISNA(INDEX('Robot Game Scores'!F:F,MATCH(TournamentData[[#This Row],[Team Number]], 'Robot Game Scores'!$B:$B,0))),0,INDEX('Robot Game Scores'!F:F,MATCH(TournamentData[[#This Row],[Team Number]], 'Robot Game Scores'!$B:$B,0))))</f>
        <v/>
      </c>
      <c r="G62" s="42" t="str">
        <f>IF(TournamentData[[#This Row],[Team Number]]="","",IF(ISNA(INDEX('Robot Game Scores'!G:G,MATCH(TournamentData[[#This Row],[Team Number]], 'Robot Game Scores'!$B:$B,0))),0,INDEX('Robot Game Scores'!G:G,MATCH(TournamentData[[#This Row],[Team Number]], 'Robot Game Scores'!$B:$B,0))))</f>
        <v/>
      </c>
      <c r="H6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2" s="42" t="str">
        <f>IF(TournamentData[[#This Row],[Team Number]]="","",_xlfn.RANK.EQ(TournamentData[[#This Row],[Max Robot Game Score]],TournamentData[Max Robot Game Score]))</f>
        <v/>
      </c>
      <c r="J6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2" s="43" t="str">
        <f>IF(TournamentData[[#This Row],[Team Number]]="","",IF(M62,RANK(M62,M$3:M$110,1)-COUNTIF(M$3:M$110,0),NumberOfTeams+1))</f>
        <v/>
      </c>
      <c r="O62" s="44">
        <f>IF(ISNA(INDEX(CoreValuesResults[Breakthrough Selection],MATCH(TournamentData[[#This Row],[Team Number]],CoreValuesResults[Team Number],0))),0, INDEX(CoreValuesResults[Breakthrough Selection],MATCH(TournamentData[[#This Row],[Team Number]],CoreValuesResults[Team Number],0)))</f>
        <v>0</v>
      </c>
      <c r="P62" s="44">
        <f>IF(ISNA(INDEX(CoreValuesResults[Rising All-Star Selection],MATCH(TournamentData[[#This Row],[Team Number]],CoreValuesResults[Team Number],0))),0, INDEX(CoreValuesResults[Rising All-Star Selection],MATCH(TournamentData[[#This Row],[Team Number]],CoreValuesResults[Team Number],0)))</f>
        <v>0</v>
      </c>
      <c r="Q62" s="44">
        <f>IF(ISNA(INDEX(CoreValuesResults[Motivate Selection],MATCH(TournamentData[[#This Row],[Team Number]],CoreValuesResults[Team Number],0))),0, INDEX(CoreValuesResults[Motivate Selection],MATCH(TournamentData[[#This Row],[Team Number]],CoreValuesResults[Team Number],0)))</f>
        <v>0</v>
      </c>
      <c r="T62" s="46"/>
      <c r="U62" s="40">
        <f>IF(ISNA(INDEX(CoreValuesResults[Core Values Score],MATCH(TournamentData[[#This Row],[Team Number]],CoreValuesResults[Team Number],0))),0,INDEX(CoreValuesResults[Core Values Score],MATCH(TournamentData[[#This Row],[Team Number]],CoreValuesResults[Team Number],0)))</f>
        <v>0</v>
      </c>
      <c r="V6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2" s="40">
        <f>IF(ISNA(INDEX(RobotDesignResults[Robot Design Score],MATCH(TournamentData[[#This Row],[Team Number]],RobotDesignResults[Team Number],0))),0,INDEX(RobotDesignResults[Robot Design Score],MATCH(TournamentData[[#This Row],[Team Number]],RobotDesignResults[Team Number],0)))</f>
        <v>0</v>
      </c>
      <c r="X6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2" s="48">
        <f t="shared" si="1"/>
        <v>0</v>
      </c>
      <c r="AC62" s="72"/>
      <c r="AD62" s="49"/>
      <c r="AE62" s="46"/>
    </row>
    <row r="63" spans="1:31" s="45" customFormat="1" ht="20.25" customHeight="1" x14ac:dyDescent="0.3">
      <c r="A63" s="40"/>
      <c r="B63" s="41" t="str">
        <f>IF(ISNA(INDEX(OfficialTeamList[Team Name],MATCH(TournamentData[[#This Row],[Team Number]], OfficialTeamList[Team Number],0))),"",INDEX(OfficialTeamList[Team Name],MATCH(TournamentData[[#This Row],[Team Number]], OfficialTeamList[Team Number],0)))</f>
        <v/>
      </c>
      <c r="C63" s="42" t="str">
        <f>IF(TournamentData[[#This Row],[Team Number]]="","",IF(ISNA(INDEX('Robot Game Scores'!C:C,MATCH(TournamentData[[#This Row],[Team Number]], 'Robot Game Scores'!$B:$B,0))),0,INDEX('Robot Game Scores'!C:C,MATCH(TournamentData[[#This Row],[Team Number]], 'Robot Game Scores'!$B:$B,0))))</f>
        <v/>
      </c>
      <c r="D63" s="42" t="str">
        <f>IF(TournamentData[[#This Row],[Team Number]]="","",IF(ISNA(INDEX('Robot Game Scores'!D:D,MATCH(TournamentData[[#This Row],[Team Number]], 'Robot Game Scores'!$B:$B,0))),0,INDEX('Robot Game Scores'!D:D,MATCH(TournamentData[[#This Row],[Team Number]], 'Robot Game Scores'!$B:$B,0))))</f>
        <v/>
      </c>
      <c r="E63" s="42" t="str">
        <f>IF(TournamentData[[#This Row],[Team Number]]="","",IF(ISNA(INDEX('Robot Game Scores'!E:E,MATCH(TournamentData[[#This Row],[Team Number]], 'Robot Game Scores'!$B:$B,0))),0,INDEX('Robot Game Scores'!E:E,MATCH(TournamentData[[#This Row],[Team Number]], 'Robot Game Scores'!$B:$B,0))))</f>
        <v/>
      </c>
      <c r="F63" s="42" t="str">
        <f>IF(TournamentData[[#This Row],[Team Number]]="","",IF(ISNA(INDEX('Robot Game Scores'!F:F,MATCH(TournamentData[[#This Row],[Team Number]], 'Robot Game Scores'!$B:$B,0))),0,INDEX('Robot Game Scores'!F:F,MATCH(TournamentData[[#This Row],[Team Number]], 'Robot Game Scores'!$B:$B,0))))</f>
        <v/>
      </c>
      <c r="G63" s="42" t="str">
        <f>IF(TournamentData[[#This Row],[Team Number]]="","",IF(ISNA(INDEX('Robot Game Scores'!G:G,MATCH(TournamentData[[#This Row],[Team Number]], 'Robot Game Scores'!$B:$B,0))),0,INDEX('Robot Game Scores'!G:G,MATCH(TournamentData[[#This Row],[Team Number]], 'Robot Game Scores'!$B:$B,0))))</f>
        <v/>
      </c>
      <c r="H6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3" s="42" t="str">
        <f>IF(TournamentData[[#This Row],[Team Number]]="","",_xlfn.RANK.EQ(TournamentData[[#This Row],[Max Robot Game Score]],TournamentData[Max Robot Game Score]))</f>
        <v/>
      </c>
      <c r="J6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3" s="43" t="str">
        <f>IF(TournamentData[[#This Row],[Team Number]]="","",IF(M63,RANK(M63,M$3:M$110,1)-COUNTIF(M$3:M$110,0),NumberOfTeams+1))</f>
        <v/>
      </c>
      <c r="O63" s="50">
        <f>IF(ISNA(INDEX(CoreValuesResults[Breakthrough Selection],MATCH(TournamentData[[#This Row],[Team Number]],CoreValuesResults[Team Number],0))),0, INDEX(CoreValuesResults[Breakthrough Selection],MATCH(TournamentData[[#This Row],[Team Number]],CoreValuesResults[Team Number],0)))</f>
        <v>0</v>
      </c>
      <c r="P63" s="50">
        <f>IF(ISNA(INDEX(CoreValuesResults[Rising All-Star Selection],MATCH(TournamentData[[#This Row],[Team Number]],CoreValuesResults[Team Number],0))),0, INDEX(CoreValuesResults[Rising All-Star Selection],MATCH(TournamentData[[#This Row],[Team Number]],CoreValuesResults[Team Number],0)))</f>
        <v>0</v>
      </c>
      <c r="Q63" s="50">
        <f>IF(ISNA(INDEX(CoreValuesResults[Motivate Selection],MATCH(TournamentData[[#This Row],[Team Number]],CoreValuesResults[Team Number],0))),0, INDEX(CoreValuesResults[Motivate Selection],MATCH(TournamentData[[#This Row],[Team Number]],CoreValuesResults[Team Number],0)))</f>
        <v>0</v>
      </c>
      <c r="T63" s="46"/>
      <c r="U63" s="40">
        <f>IF(ISNA(INDEX(CoreValuesResults[Core Values Score],MATCH(TournamentData[[#This Row],[Team Number]],CoreValuesResults[Team Number],0))),0,INDEX(CoreValuesResults[Core Values Score],MATCH(TournamentData[[#This Row],[Team Number]],CoreValuesResults[Team Number],0)))</f>
        <v>0</v>
      </c>
      <c r="V6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3" s="40">
        <f>IF(ISNA(INDEX(RobotDesignResults[Robot Design Score],MATCH(TournamentData[[#This Row],[Team Number]],RobotDesignResults[Team Number],0))),0,INDEX(RobotDesignResults[Robot Design Score],MATCH(TournamentData[[#This Row],[Team Number]],RobotDesignResults[Team Number],0)))</f>
        <v>0</v>
      </c>
      <c r="X6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3" s="48">
        <f t="shared" si="1"/>
        <v>0</v>
      </c>
      <c r="AC63" s="72"/>
      <c r="AD63" s="49"/>
      <c r="AE63" s="46"/>
    </row>
    <row r="64" spans="1:31" s="45" customFormat="1" ht="20.25" customHeight="1" x14ac:dyDescent="0.3">
      <c r="A64" s="40"/>
      <c r="B64" s="41" t="str">
        <f>IF(ISNA(INDEX(OfficialTeamList[Team Name],MATCH(TournamentData[[#This Row],[Team Number]], OfficialTeamList[Team Number],0))),"",INDEX(OfficialTeamList[Team Name],MATCH(TournamentData[[#This Row],[Team Number]], OfficialTeamList[Team Number],0)))</f>
        <v/>
      </c>
      <c r="C64" s="42" t="str">
        <f>IF(TournamentData[[#This Row],[Team Number]]="","",IF(ISNA(INDEX('Robot Game Scores'!C:C,MATCH(TournamentData[[#This Row],[Team Number]], 'Robot Game Scores'!$B:$B,0))),0,INDEX('Robot Game Scores'!C:C,MATCH(TournamentData[[#This Row],[Team Number]], 'Robot Game Scores'!$B:$B,0))))</f>
        <v/>
      </c>
      <c r="D64" s="42" t="str">
        <f>IF(TournamentData[[#This Row],[Team Number]]="","",IF(ISNA(INDEX('Robot Game Scores'!D:D,MATCH(TournamentData[[#This Row],[Team Number]], 'Robot Game Scores'!$B:$B,0))),0,INDEX('Robot Game Scores'!D:D,MATCH(TournamentData[[#This Row],[Team Number]], 'Robot Game Scores'!$B:$B,0))))</f>
        <v/>
      </c>
      <c r="E64" s="42" t="str">
        <f>IF(TournamentData[[#This Row],[Team Number]]="","",IF(ISNA(INDEX('Robot Game Scores'!E:E,MATCH(TournamentData[[#This Row],[Team Number]], 'Robot Game Scores'!$B:$B,0))),0,INDEX('Robot Game Scores'!E:E,MATCH(TournamentData[[#This Row],[Team Number]], 'Robot Game Scores'!$B:$B,0))))</f>
        <v/>
      </c>
      <c r="F64" s="42" t="str">
        <f>IF(TournamentData[[#This Row],[Team Number]]="","",IF(ISNA(INDEX('Robot Game Scores'!F:F,MATCH(TournamentData[[#This Row],[Team Number]], 'Robot Game Scores'!$B:$B,0))),0,INDEX('Robot Game Scores'!F:F,MATCH(TournamentData[[#This Row],[Team Number]], 'Robot Game Scores'!$B:$B,0))))</f>
        <v/>
      </c>
      <c r="G64" s="42" t="str">
        <f>IF(TournamentData[[#This Row],[Team Number]]="","",IF(ISNA(INDEX('Robot Game Scores'!G:G,MATCH(TournamentData[[#This Row],[Team Number]], 'Robot Game Scores'!$B:$B,0))),0,INDEX('Robot Game Scores'!G:G,MATCH(TournamentData[[#This Row],[Team Number]], 'Robot Game Scores'!$B:$B,0))))</f>
        <v/>
      </c>
      <c r="H6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4" s="42" t="str">
        <f>IF(TournamentData[[#This Row],[Team Number]]="","",_xlfn.RANK.EQ(TournamentData[[#This Row],[Max Robot Game Score]],TournamentData[Max Robot Game Score]))</f>
        <v/>
      </c>
      <c r="J6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4" s="43" t="str">
        <f>IF(TournamentData[[#This Row],[Team Number]]="","",IF(M64,RANK(M64,M$3:M$110,1)-COUNTIF(M$3:M$110,0),NumberOfTeams+1))</f>
        <v/>
      </c>
      <c r="O64" s="50">
        <f>IF(ISNA(INDEX(CoreValuesResults[Breakthrough Selection],MATCH(TournamentData[[#This Row],[Team Number]],CoreValuesResults[Team Number],0))),0, INDEX(CoreValuesResults[Breakthrough Selection],MATCH(TournamentData[[#This Row],[Team Number]],CoreValuesResults[Team Number],0)))</f>
        <v>0</v>
      </c>
      <c r="P64" s="50">
        <f>IF(ISNA(INDEX(CoreValuesResults[Rising All-Star Selection],MATCH(TournamentData[[#This Row],[Team Number]],CoreValuesResults[Team Number],0))),0, INDEX(CoreValuesResults[Rising All-Star Selection],MATCH(TournamentData[[#This Row],[Team Number]],CoreValuesResults[Team Number],0)))</f>
        <v>0</v>
      </c>
      <c r="Q64" s="50">
        <f>IF(ISNA(INDEX(CoreValuesResults[Motivate Selection],MATCH(TournamentData[[#This Row],[Team Number]],CoreValuesResults[Team Number],0))),0, INDEX(CoreValuesResults[Motivate Selection],MATCH(TournamentData[[#This Row],[Team Number]],CoreValuesResults[Team Number],0)))</f>
        <v>0</v>
      </c>
      <c r="T64" s="46"/>
      <c r="U64" s="40">
        <f>IF(ISNA(INDEX(CoreValuesResults[Core Values Score],MATCH(TournamentData[[#This Row],[Team Number]],CoreValuesResults[Team Number],0))),0,INDEX(CoreValuesResults[Core Values Score],MATCH(TournamentData[[#This Row],[Team Number]],CoreValuesResults[Team Number],0)))</f>
        <v>0</v>
      </c>
      <c r="V6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4" s="40">
        <f>IF(ISNA(INDEX(RobotDesignResults[Robot Design Score],MATCH(TournamentData[[#This Row],[Team Number]],RobotDesignResults[Team Number],0))),0,INDEX(RobotDesignResults[Robot Design Score],MATCH(TournamentData[[#This Row],[Team Number]],RobotDesignResults[Team Number],0)))</f>
        <v>0</v>
      </c>
      <c r="X6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4" s="48">
        <f t="shared" si="1"/>
        <v>0</v>
      </c>
      <c r="AC64" s="72"/>
      <c r="AD64" s="49"/>
      <c r="AE64" s="46"/>
    </row>
    <row r="65" spans="1:31" s="45" customFormat="1" ht="20.25" customHeight="1" x14ac:dyDescent="0.3">
      <c r="A65" s="40"/>
      <c r="B65" s="41" t="str">
        <f>IF(ISNA(INDEX(OfficialTeamList[Team Name],MATCH(TournamentData[[#This Row],[Team Number]], OfficialTeamList[Team Number],0))),"",INDEX(OfficialTeamList[Team Name],MATCH(TournamentData[[#This Row],[Team Number]], OfficialTeamList[Team Number],0)))</f>
        <v/>
      </c>
      <c r="C65" s="42" t="str">
        <f>IF(TournamentData[[#This Row],[Team Number]]="","",IF(ISNA(INDEX('Robot Game Scores'!C:C,MATCH(TournamentData[[#This Row],[Team Number]], 'Robot Game Scores'!$B:$B,0))),0,INDEX('Robot Game Scores'!C:C,MATCH(TournamentData[[#This Row],[Team Number]], 'Robot Game Scores'!$B:$B,0))))</f>
        <v/>
      </c>
      <c r="D65" s="42" t="str">
        <f>IF(TournamentData[[#This Row],[Team Number]]="","",IF(ISNA(INDEX('Robot Game Scores'!D:D,MATCH(TournamentData[[#This Row],[Team Number]], 'Robot Game Scores'!$B:$B,0))),0,INDEX('Robot Game Scores'!D:D,MATCH(TournamentData[[#This Row],[Team Number]], 'Robot Game Scores'!$B:$B,0))))</f>
        <v/>
      </c>
      <c r="E65" s="42" t="str">
        <f>IF(TournamentData[[#This Row],[Team Number]]="","",IF(ISNA(INDEX('Robot Game Scores'!E:E,MATCH(TournamentData[[#This Row],[Team Number]], 'Robot Game Scores'!$B:$B,0))),0,INDEX('Robot Game Scores'!E:E,MATCH(TournamentData[[#This Row],[Team Number]], 'Robot Game Scores'!$B:$B,0))))</f>
        <v/>
      </c>
      <c r="F65" s="42" t="str">
        <f>IF(TournamentData[[#This Row],[Team Number]]="","",IF(ISNA(INDEX('Robot Game Scores'!F:F,MATCH(TournamentData[[#This Row],[Team Number]], 'Robot Game Scores'!$B:$B,0))),0,INDEX('Robot Game Scores'!F:F,MATCH(TournamentData[[#This Row],[Team Number]], 'Robot Game Scores'!$B:$B,0))))</f>
        <v/>
      </c>
      <c r="G65" s="42" t="str">
        <f>IF(TournamentData[[#This Row],[Team Number]]="","",IF(ISNA(INDEX('Robot Game Scores'!G:G,MATCH(TournamentData[[#This Row],[Team Number]], 'Robot Game Scores'!$B:$B,0))),0,INDEX('Robot Game Scores'!G:G,MATCH(TournamentData[[#This Row],[Team Number]], 'Robot Game Scores'!$B:$B,0))))</f>
        <v/>
      </c>
      <c r="H6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5" s="42" t="str">
        <f>IF(TournamentData[[#This Row],[Team Number]]="","",_xlfn.RANK.EQ(TournamentData[[#This Row],[Max Robot Game Score]],TournamentData[Max Robot Game Score]))</f>
        <v/>
      </c>
      <c r="J6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5" s="43" t="str">
        <f>IF(TournamentData[[#This Row],[Team Number]]="","",IF(M65,RANK(M65,M$3:M$110,1)-COUNTIF(M$3:M$110,0),NumberOfTeams+1))</f>
        <v/>
      </c>
      <c r="O65" s="50">
        <f>IF(ISNA(INDEX(CoreValuesResults[Breakthrough Selection],MATCH(TournamentData[[#This Row],[Team Number]],CoreValuesResults[Team Number],0))),0, INDEX(CoreValuesResults[Breakthrough Selection],MATCH(TournamentData[[#This Row],[Team Number]],CoreValuesResults[Team Number],0)))</f>
        <v>0</v>
      </c>
      <c r="P65" s="50">
        <f>IF(ISNA(INDEX(CoreValuesResults[Rising All-Star Selection],MATCH(TournamentData[[#This Row],[Team Number]],CoreValuesResults[Team Number],0))),0, INDEX(CoreValuesResults[Rising All-Star Selection],MATCH(TournamentData[[#This Row],[Team Number]],CoreValuesResults[Team Number],0)))</f>
        <v>0</v>
      </c>
      <c r="Q65" s="50">
        <f>IF(ISNA(INDEX(CoreValuesResults[Motivate Selection],MATCH(TournamentData[[#This Row],[Team Number]],CoreValuesResults[Team Number],0))),0, INDEX(CoreValuesResults[Motivate Selection],MATCH(TournamentData[[#This Row],[Team Number]],CoreValuesResults[Team Number],0)))</f>
        <v>0</v>
      </c>
      <c r="T65" s="46"/>
      <c r="U65" s="40">
        <f>IF(ISNA(INDEX(CoreValuesResults[Core Values Score],MATCH(TournamentData[[#This Row],[Team Number]],CoreValuesResults[Team Number],0))),0,INDEX(CoreValuesResults[Core Values Score],MATCH(TournamentData[[#This Row],[Team Number]],CoreValuesResults[Team Number],0)))</f>
        <v>0</v>
      </c>
      <c r="V6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5" s="40">
        <f>IF(ISNA(INDEX(RobotDesignResults[Robot Design Score],MATCH(TournamentData[[#This Row],[Team Number]],RobotDesignResults[Team Number],0))),0,INDEX(RobotDesignResults[Robot Design Score],MATCH(TournamentData[[#This Row],[Team Number]],RobotDesignResults[Team Number],0)))</f>
        <v>0</v>
      </c>
      <c r="X6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5" s="48">
        <f t="shared" si="1"/>
        <v>0</v>
      </c>
      <c r="AC65" s="72"/>
      <c r="AD65" s="49"/>
      <c r="AE65" s="46"/>
    </row>
    <row r="66" spans="1:31" s="45" customFormat="1" ht="20.25" customHeight="1" x14ac:dyDescent="0.3">
      <c r="A66" s="40"/>
      <c r="B66" s="41" t="str">
        <f>IF(ISNA(INDEX(OfficialTeamList[Team Name],MATCH(TournamentData[[#This Row],[Team Number]], OfficialTeamList[Team Number],0))),"",INDEX(OfficialTeamList[Team Name],MATCH(TournamentData[[#This Row],[Team Number]], OfficialTeamList[Team Number],0)))</f>
        <v/>
      </c>
      <c r="C66" s="42" t="str">
        <f>IF(TournamentData[[#This Row],[Team Number]]="","",IF(ISNA(INDEX('Robot Game Scores'!C:C,MATCH(TournamentData[[#This Row],[Team Number]], 'Robot Game Scores'!$B:$B,0))),0,INDEX('Robot Game Scores'!C:C,MATCH(TournamentData[[#This Row],[Team Number]], 'Robot Game Scores'!$B:$B,0))))</f>
        <v/>
      </c>
      <c r="D66" s="42" t="str">
        <f>IF(TournamentData[[#This Row],[Team Number]]="","",IF(ISNA(INDEX('Robot Game Scores'!D:D,MATCH(TournamentData[[#This Row],[Team Number]], 'Robot Game Scores'!$B:$B,0))),0,INDEX('Robot Game Scores'!D:D,MATCH(TournamentData[[#This Row],[Team Number]], 'Robot Game Scores'!$B:$B,0))))</f>
        <v/>
      </c>
      <c r="E66" s="42" t="str">
        <f>IF(TournamentData[[#This Row],[Team Number]]="","",IF(ISNA(INDEX('Robot Game Scores'!E:E,MATCH(TournamentData[[#This Row],[Team Number]], 'Robot Game Scores'!$B:$B,0))),0,INDEX('Robot Game Scores'!E:E,MATCH(TournamentData[[#This Row],[Team Number]], 'Robot Game Scores'!$B:$B,0))))</f>
        <v/>
      </c>
      <c r="F66" s="42" t="str">
        <f>IF(TournamentData[[#This Row],[Team Number]]="","",IF(ISNA(INDEX('Robot Game Scores'!F:F,MATCH(TournamentData[[#This Row],[Team Number]], 'Robot Game Scores'!$B:$B,0))),0,INDEX('Robot Game Scores'!F:F,MATCH(TournamentData[[#This Row],[Team Number]], 'Robot Game Scores'!$B:$B,0))))</f>
        <v/>
      </c>
      <c r="G66" s="42" t="str">
        <f>IF(TournamentData[[#This Row],[Team Number]]="","",IF(ISNA(INDEX('Robot Game Scores'!G:G,MATCH(TournamentData[[#This Row],[Team Number]], 'Robot Game Scores'!$B:$B,0))),0,INDEX('Robot Game Scores'!G:G,MATCH(TournamentData[[#This Row],[Team Number]], 'Robot Game Scores'!$B:$B,0))))</f>
        <v/>
      </c>
      <c r="H6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6" s="42" t="str">
        <f>IF(TournamentData[[#This Row],[Team Number]]="","",_xlfn.RANK.EQ(TournamentData[[#This Row],[Max Robot Game Score]],TournamentData[Max Robot Game Score]))</f>
        <v/>
      </c>
      <c r="J6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6" s="43" t="str">
        <f>IF(TournamentData[[#This Row],[Team Number]]="","",IF(M66,RANK(M66,M$3:M$110,1)-COUNTIF(M$3:M$110,0),NumberOfTeams+1))</f>
        <v/>
      </c>
      <c r="O66" s="50">
        <f>IF(ISNA(INDEX(CoreValuesResults[Breakthrough Selection],MATCH(TournamentData[[#This Row],[Team Number]],CoreValuesResults[Team Number],0))),0, INDEX(CoreValuesResults[Breakthrough Selection],MATCH(TournamentData[[#This Row],[Team Number]],CoreValuesResults[Team Number],0)))</f>
        <v>0</v>
      </c>
      <c r="P66" s="50">
        <f>IF(ISNA(INDEX(CoreValuesResults[Rising All-Star Selection],MATCH(TournamentData[[#This Row],[Team Number]],CoreValuesResults[Team Number],0))),0, INDEX(CoreValuesResults[Rising All-Star Selection],MATCH(TournamentData[[#This Row],[Team Number]],CoreValuesResults[Team Number],0)))</f>
        <v>0</v>
      </c>
      <c r="Q66" s="50">
        <f>IF(ISNA(INDEX(CoreValuesResults[Motivate Selection],MATCH(TournamentData[[#This Row],[Team Number]],CoreValuesResults[Team Number],0))),0, INDEX(CoreValuesResults[Motivate Selection],MATCH(TournamentData[[#This Row],[Team Number]],CoreValuesResults[Team Number],0)))</f>
        <v>0</v>
      </c>
      <c r="T66" s="46"/>
      <c r="U66" s="40">
        <f>IF(ISNA(INDEX(CoreValuesResults[Core Values Score],MATCH(TournamentData[[#This Row],[Team Number]],CoreValuesResults[Team Number],0))),0,INDEX(CoreValuesResults[Core Values Score],MATCH(TournamentData[[#This Row],[Team Number]],CoreValuesResults[Team Number],0)))</f>
        <v>0</v>
      </c>
      <c r="V6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6" s="40">
        <f>IF(ISNA(INDEX(RobotDesignResults[Robot Design Score],MATCH(TournamentData[[#This Row],[Team Number]],RobotDesignResults[Team Number],0))),0,INDEX(RobotDesignResults[Robot Design Score],MATCH(TournamentData[[#This Row],[Team Number]],RobotDesignResults[Team Number],0)))</f>
        <v>0</v>
      </c>
      <c r="X6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6" s="48">
        <f t="shared" si="1"/>
        <v>0</v>
      </c>
      <c r="AC66" s="72"/>
      <c r="AD66" s="49"/>
      <c r="AE66" s="46"/>
    </row>
    <row r="67" spans="1:31" s="45" customFormat="1" ht="20.25" customHeight="1" x14ac:dyDescent="0.3">
      <c r="A67" s="40"/>
      <c r="B67" s="41" t="str">
        <f>IF(ISNA(INDEX(OfficialTeamList[Team Name],MATCH(TournamentData[[#This Row],[Team Number]], OfficialTeamList[Team Number],0))),"",INDEX(OfficialTeamList[Team Name],MATCH(TournamentData[[#This Row],[Team Number]], OfficialTeamList[Team Number],0)))</f>
        <v/>
      </c>
      <c r="C67" s="42" t="str">
        <f>IF(TournamentData[[#This Row],[Team Number]]="","",IF(ISNA(INDEX('Robot Game Scores'!C:C,MATCH(TournamentData[[#This Row],[Team Number]], 'Robot Game Scores'!$B:$B,0))),0,INDEX('Robot Game Scores'!C:C,MATCH(TournamentData[[#This Row],[Team Number]], 'Robot Game Scores'!$B:$B,0))))</f>
        <v/>
      </c>
      <c r="D67" s="42" t="str">
        <f>IF(TournamentData[[#This Row],[Team Number]]="","",IF(ISNA(INDEX('Robot Game Scores'!D:D,MATCH(TournamentData[[#This Row],[Team Number]], 'Robot Game Scores'!$B:$B,0))),0,INDEX('Robot Game Scores'!D:D,MATCH(TournamentData[[#This Row],[Team Number]], 'Robot Game Scores'!$B:$B,0))))</f>
        <v/>
      </c>
      <c r="E67" s="42" t="str">
        <f>IF(TournamentData[[#This Row],[Team Number]]="","",IF(ISNA(INDEX('Robot Game Scores'!E:E,MATCH(TournamentData[[#This Row],[Team Number]], 'Robot Game Scores'!$B:$B,0))),0,INDEX('Robot Game Scores'!E:E,MATCH(TournamentData[[#This Row],[Team Number]], 'Robot Game Scores'!$B:$B,0))))</f>
        <v/>
      </c>
      <c r="F67" s="42" t="str">
        <f>IF(TournamentData[[#This Row],[Team Number]]="","",IF(ISNA(INDEX('Robot Game Scores'!F:F,MATCH(TournamentData[[#This Row],[Team Number]], 'Robot Game Scores'!$B:$B,0))),0,INDEX('Robot Game Scores'!F:F,MATCH(TournamentData[[#This Row],[Team Number]], 'Robot Game Scores'!$B:$B,0))))</f>
        <v/>
      </c>
      <c r="G67" s="42" t="str">
        <f>IF(TournamentData[[#This Row],[Team Number]]="","",IF(ISNA(INDEX('Robot Game Scores'!G:G,MATCH(TournamentData[[#This Row],[Team Number]], 'Robot Game Scores'!$B:$B,0))),0,INDEX('Robot Game Scores'!G:G,MATCH(TournamentData[[#This Row],[Team Number]], 'Robot Game Scores'!$B:$B,0))))</f>
        <v/>
      </c>
      <c r="H6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7" s="42" t="str">
        <f>IF(TournamentData[[#This Row],[Team Number]]="","",_xlfn.RANK.EQ(TournamentData[[#This Row],[Max Robot Game Score]],TournamentData[Max Robot Game Score]))</f>
        <v/>
      </c>
      <c r="J6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7" s="43" t="str">
        <f>IF(TournamentData[[#This Row],[Team Number]]="","",IF(M67,RANK(M67,M$3:M$110,1)-COUNTIF(M$3:M$110,0),NumberOfTeams+1))</f>
        <v/>
      </c>
      <c r="O67" s="50">
        <f>IF(ISNA(INDEX(CoreValuesResults[Breakthrough Selection],MATCH(TournamentData[[#This Row],[Team Number]],CoreValuesResults[Team Number],0))),0, INDEX(CoreValuesResults[Breakthrough Selection],MATCH(TournamentData[[#This Row],[Team Number]],CoreValuesResults[Team Number],0)))</f>
        <v>0</v>
      </c>
      <c r="P67" s="50">
        <f>IF(ISNA(INDEX(CoreValuesResults[Rising All-Star Selection],MATCH(TournamentData[[#This Row],[Team Number]],CoreValuesResults[Team Number],0))),0, INDEX(CoreValuesResults[Rising All-Star Selection],MATCH(TournamentData[[#This Row],[Team Number]],CoreValuesResults[Team Number],0)))</f>
        <v>0</v>
      </c>
      <c r="Q67" s="50">
        <f>IF(ISNA(INDEX(CoreValuesResults[Motivate Selection],MATCH(TournamentData[[#This Row],[Team Number]],CoreValuesResults[Team Number],0))),0, INDEX(CoreValuesResults[Motivate Selection],MATCH(TournamentData[[#This Row],[Team Number]],CoreValuesResults[Team Number],0)))</f>
        <v>0</v>
      </c>
      <c r="T67" s="46"/>
      <c r="U67" s="40">
        <f>IF(ISNA(INDEX(CoreValuesResults[Core Values Score],MATCH(TournamentData[[#This Row],[Team Number]],CoreValuesResults[Team Number],0))),0,INDEX(CoreValuesResults[Core Values Score],MATCH(TournamentData[[#This Row],[Team Number]],CoreValuesResults[Team Number],0)))</f>
        <v>0</v>
      </c>
      <c r="V6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7" s="40">
        <f>IF(ISNA(INDEX(RobotDesignResults[Robot Design Score],MATCH(TournamentData[[#This Row],[Team Number]],RobotDesignResults[Team Number],0))),0,INDEX(RobotDesignResults[Robot Design Score],MATCH(TournamentData[[#This Row],[Team Number]],RobotDesignResults[Team Number],0)))</f>
        <v>0</v>
      </c>
      <c r="X6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7" s="48">
        <f t="shared" ref="Y67:Y98" si="2">IF(X67,_xlfn.RANK.EQ(X67,X$3:X$110,0),NumberOfTeams)</f>
        <v>0</v>
      </c>
      <c r="AC67" s="72"/>
      <c r="AD67" s="49"/>
      <c r="AE67" s="46"/>
    </row>
    <row r="68" spans="1:31" s="45" customFormat="1" ht="20.25" customHeight="1" x14ac:dyDescent="0.3">
      <c r="A68" s="40"/>
      <c r="B68" s="41" t="str">
        <f>IF(ISNA(INDEX(OfficialTeamList[Team Name],MATCH(TournamentData[[#This Row],[Team Number]], OfficialTeamList[Team Number],0))),"",INDEX(OfficialTeamList[Team Name],MATCH(TournamentData[[#This Row],[Team Number]], OfficialTeamList[Team Number],0)))</f>
        <v/>
      </c>
      <c r="C68" s="42" t="str">
        <f>IF(TournamentData[[#This Row],[Team Number]]="","",IF(ISNA(INDEX('Robot Game Scores'!C:C,MATCH(TournamentData[[#This Row],[Team Number]], 'Robot Game Scores'!$B:$B,0))),0,INDEX('Robot Game Scores'!C:C,MATCH(TournamentData[[#This Row],[Team Number]], 'Robot Game Scores'!$B:$B,0))))</f>
        <v/>
      </c>
      <c r="D68" s="42" t="str">
        <f>IF(TournamentData[[#This Row],[Team Number]]="","",IF(ISNA(INDEX('Robot Game Scores'!D:D,MATCH(TournamentData[[#This Row],[Team Number]], 'Robot Game Scores'!$B:$B,0))),0,INDEX('Robot Game Scores'!D:D,MATCH(TournamentData[[#This Row],[Team Number]], 'Robot Game Scores'!$B:$B,0))))</f>
        <v/>
      </c>
      <c r="E68" s="42" t="str">
        <f>IF(TournamentData[[#This Row],[Team Number]]="","",IF(ISNA(INDEX('Robot Game Scores'!E:E,MATCH(TournamentData[[#This Row],[Team Number]], 'Robot Game Scores'!$B:$B,0))),0,INDEX('Robot Game Scores'!E:E,MATCH(TournamentData[[#This Row],[Team Number]], 'Robot Game Scores'!$B:$B,0))))</f>
        <v/>
      </c>
      <c r="F68" s="42" t="str">
        <f>IF(TournamentData[[#This Row],[Team Number]]="","",IF(ISNA(INDEX('Robot Game Scores'!F:F,MATCH(TournamentData[[#This Row],[Team Number]], 'Robot Game Scores'!$B:$B,0))),0,INDEX('Robot Game Scores'!F:F,MATCH(TournamentData[[#This Row],[Team Number]], 'Robot Game Scores'!$B:$B,0))))</f>
        <v/>
      </c>
      <c r="G68" s="42" t="str">
        <f>IF(TournamentData[[#This Row],[Team Number]]="","",IF(ISNA(INDEX('Robot Game Scores'!G:G,MATCH(TournamentData[[#This Row],[Team Number]], 'Robot Game Scores'!$B:$B,0))),0,INDEX('Robot Game Scores'!G:G,MATCH(TournamentData[[#This Row],[Team Number]], 'Robot Game Scores'!$B:$B,0))))</f>
        <v/>
      </c>
      <c r="H6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8" s="42" t="str">
        <f>IF(TournamentData[[#This Row],[Team Number]]="","",_xlfn.RANK.EQ(TournamentData[[#This Row],[Max Robot Game Score]],TournamentData[Max Robot Game Score]))</f>
        <v/>
      </c>
      <c r="J6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8" s="43" t="str">
        <f>IF(TournamentData[[#This Row],[Team Number]]="","",IF(M68,RANK(M68,M$3:M$110,1)-COUNTIF(M$3:M$110,0),NumberOfTeams+1))</f>
        <v/>
      </c>
      <c r="O68" s="50">
        <f>IF(ISNA(INDEX(CoreValuesResults[Breakthrough Selection],MATCH(TournamentData[[#This Row],[Team Number]],CoreValuesResults[Team Number],0))),0, INDEX(CoreValuesResults[Breakthrough Selection],MATCH(TournamentData[[#This Row],[Team Number]],CoreValuesResults[Team Number],0)))</f>
        <v>0</v>
      </c>
      <c r="P68" s="50">
        <f>IF(ISNA(INDEX(CoreValuesResults[Rising All-Star Selection],MATCH(TournamentData[[#This Row],[Team Number]],CoreValuesResults[Team Number],0))),0, INDEX(CoreValuesResults[Rising All-Star Selection],MATCH(TournamentData[[#This Row],[Team Number]],CoreValuesResults[Team Number],0)))</f>
        <v>0</v>
      </c>
      <c r="Q68" s="50">
        <f>IF(ISNA(INDEX(CoreValuesResults[Motivate Selection],MATCH(TournamentData[[#This Row],[Team Number]],CoreValuesResults[Team Number],0))),0, INDEX(CoreValuesResults[Motivate Selection],MATCH(TournamentData[[#This Row],[Team Number]],CoreValuesResults[Team Number],0)))</f>
        <v>0</v>
      </c>
      <c r="T68" s="46"/>
      <c r="U68" s="40">
        <f>IF(ISNA(INDEX(CoreValuesResults[Core Values Score],MATCH(TournamentData[[#This Row],[Team Number]],CoreValuesResults[Team Number],0))),0,INDEX(CoreValuesResults[Core Values Score],MATCH(TournamentData[[#This Row],[Team Number]],CoreValuesResults[Team Number],0)))</f>
        <v>0</v>
      </c>
      <c r="V6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8" s="40">
        <f>IF(ISNA(INDEX(RobotDesignResults[Robot Design Score],MATCH(TournamentData[[#This Row],[Team Number]],RobotDesignResults[Team Number],0))),0,INDEX(RobotDesignResults[Robot Design Score],MATCH(TournamentData[[#This Row],[Team Number]],RobotDesignResults[Team Number],0)))</f>
        <v>0</v>
      </c>
      <c r="X6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8" s="48">
        <f t="shared" si="2"/>
        <v>0</v>
      </c>
      <c r="AC68" s="72"/>
      <c r="AD68" s="49"/>
      <c r="AE68" s="46"/>
    </row>
    <row r="69" spans="1:31" s="45" customFormat="1" ht="20.25" customHeight="1" x14ac:dyDescent="0.3">
      <c r="A69" s="40"/>
      <c r="B69" s="41" t="str">
        <f>IF(ISNA(INDEX(OfficialTeamList[Team Name],MATCH(TournamentData[[#This Row],[Team Number]], OfficialTeamList[Team Number],0))),"",INDEX(OfficialTeamList[Team Name],MATCH(TournamentData[[#This Row],[Team Number]], OfficialTeamList[Team Number],0)))</f>
        <v/>
      </c>
      <c r="C69" s="42" t="str">
        <f>IF(TournamentData[[#This Row],[Team Number]]="","",IF(ISNA(INDEX('Robot Game Scores'!C:C,MATCH(TournamentData[[#This Row],[Team Number]], 'Robot Game Scores'!$B:$B,0))),0,INDEX('Robot Game Scores'!C:C,MATCH(TournamentData[[#This Row],[Team Number]], 'Robot Game Scores'!$B:$B,0))))</f>
        <v/>
      </c>
      <c r="D69" s="42" t="str">
        <f>IF(TournamentData[[#This Row],[Team Number]]="","",IF(ISNA(INDEX('Robot Game Scores'!D:D,MATCH(TournamentData[[#This Row],[Team Number]], 'Robot Game Scores'!$B:$B,0))),0,INDEX('Robot Game Scores'!D:D,MATCH(TournamentData[[#This Row],[Team Number]], 'Robot Game Scores'!$B:$B,0))))</f>
        <v/>
      </c>
      <c r="E69" s="42" t="str">
        <f>IF(TournamentData[[#This Row],[Team Number]]="","",IF(ISNA(INDEX('Robot Game Scores'!E:E,MATCH(TournamentData[[#This Row],[Team Number]], 'Robot Game Scores'!$B:$B,0))),0,INDEX('Robot Game Scores'!E:E,MATCH(TournamentData[[#This Row],[Team Number]], 'Robot Game Scores'!$B:$B,0))))</f>
        <v/>
      </c>
      <c r="F69" s="42" t="str">
        <f>IF(TournamentData[[#This Row],[Team Number]]="","",IF(ISNA(INDEX('Robot Game Scores'!F:F,MATCH(TournamentData[[#This Row],[Team Number]], 'Robot Game Scores'!$B:$B,0))),0,INDEX('Robot Game Scores'!F:F,MATCH(TournamentData[[#This Row],[Team Number]], 'Robot Game Scores'!$B:$B,0))))</f>
        <v/>
      </c>
      <c r="G69" s="42" t="str">
        <f>IF(TournamentData[[#This Row],[Team Number]]="","",IF(ISNA(INDEX('Robot Game Scores'!G:G,MATCH(TournamentData[[#This Row],[Team Number]], 'Robot Game Scores'!$B:$B,0))),0,INDEX('Robot Game Scores'!G:G,MATCH(TournamentData[[#This Row],[Team Number]], 'Robot Game Scores'!$B:$B,0))))</f>
        <v/>
      </c>
      <c r="H6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9" s="42" t="str">
        <f>IF(TournamentData[[#This Row],[Team Number]]="","",_xlfn.RANK.EQ(TournamentData[[#This Row],[Max Robot Game Score]],TournamentData[Max Robot Game Score]))</f>
        <v/>
      </c>
      <c r="J6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6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9" s="43" t="str">
        <f>IF(TournamentData[[#This Row],[Team Number]]="","",IF(M69,RANK(M69,M$3:M$110,1)-COUNTIF(M$3:M$110,0),NumberOfTeams+1))</f>
        <v/>
      </c>
      <c r="O69" s="50">
        <f>IF(ISNA(INDEX(CoreValuesResults[Breakthrough Selection],MATCH(TournamentData[[#This Row],[Team Number]],CoreValuesResults[Team Number],0))),0, INDEX(CoreValuesResults[Breakthrough Selection],MATCH(TournamentData[[#This Row],[Team Number]],CoreValuesResults[Team Number],0)))</f>
        <v>0</v>
      </c>
      <c r="P69" s="50">
        <f>IF(ISNA(INDEX(CoreValuesResults[Rising All-Star Selection],MATCH(TournamentData[[#This Row],[Team Number]],CoreValuesResults[Team Number],0))),0, INDEX(CoreValuesResults[Rising All-Star Selection],MATCH(TournamentData[[#This Row],[Team Number]],CoreValuesResults[Team Number],0)))</f>
        <v>0</v>
      </c>
      <c r="Q69" s="50">
        <f>IF(ISNA(INDEX(CoreValuesResults[Motivate Selection],MATCH(TournamentData[[#This Row],[Team Number]],CoreValuesResults[Team Number],0))),0, INDEX(CoreValuesResults[Motivate Selection],MATCH(TournamentData[[#This Row],[Team Number]],CoreValuesResults[Team Number],0)))</f>
        <v>0</v>
      </c>
      <c r="T69" s="46"/>
      <c r="U69" s="40">
        <f>IF(ISNA(INDEX(CoreValuesResults[Core Values Score],MATCH(TournamentData[[#This Row],[Team Number]],CoreValuesResults[Team Number],0))),0,INDEX(CoreValuesResults[Core Values Score],MATCH(TournamentData[[#This Row],[Team Number]],CoreValuesResults[Team Number],0)))</f>
        <v>0</v>
      </c>
      <c r="V6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69" s="40">
        <f>IF(ISNA(INDEX(RobotDesignResults[Robot Design Score],MATCH(TournamentData[[#This Row],[Team Number]],RobotDesignResults[Team Number],0))),0,INDEX(RobotDesignResults[Robot Design Score],MATCH(TournamentData[[#This Row],[Team Number]],RobotDesignResults[Team Number],0)))</f>
        <v>0</v>
      </c>
      <c r="X6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69" s="48">
        <f t="shared" si="2"/>
        <v>0</v>
      </c>
      <c r="AC69" s="72"/>
      <c r="AD69" s="49"/>
      <c r="AE69" s="46"/>
    </row>
    <row r="70" spans="1:31" s="45" customFormat="1" ht="20.25" customHeight="1" x14ac:dyDescent="0.3">
      <c r="A70" s="40"/>
      <c r="B70" s="41" t="str">
        <f>IF(ISNA(INDEX(OfficialTeamList[Team Name],MATCH(TournamentData[[#This Row],[Team Number]], OfficialTeamList[Team Number],0))),"",INDEX(OfficialTeamList[Team Name],MATCH(TournamentData[[#This Row],[Team Number]], OfficialTeamList[Team Number],0)))</f>
        <v/>
      </c>
      <c r="C70" s="42" t="str">
        <f>IF(TournamentData[[#This Row],[Team Number]]="","",IF(ISNA(INDEX('Robot Game Scores'!C:C,MATCH(TournamentData[[#This Row],[Team Number]], 'Robot Game Scores'!$B:$B,0))),0,INDEX('Robot Game Scores'!C:C,MATCH(TournamentData[[#This Row],[Team Number]], 'Robot Game Scores'!$B:$B,0))))</f>
        <v/>
      </c>
      <c r="D70" s="42" t="str">
        <f>IF(TournamentData[[#This Row],[Team Number]]="","",IF(ISNA(INDEX('Robot Game Scores'!D:D,MATCH(TournamentData[[#This Row],[Team Number]], 'Robot Game Scores'!$B:$B,0))),0,INDEX('Robot Game Scores'!D:D,MATCH(TournamentData[[#This Row],[Team Number]], 'Robot Game Scores'!$B:$B,0))))</f>
        <v/>
      </c>
      <c r="E70" s="42" t="str">
        <f>IF(TournamentData[[#This Row],[Team Number]]="","",IF(ISNA(INDEX('Robot Game Scores'!E:E,MATCH(TournamentData[[#This Row],[Team Number]], 'Robot Game Scores'!$B:$B,0))),0,INDEX('Robot Game Scores'!E:E,MATCH(TournamentData[[#This Row],[Team Number]], 'Robot Game Scores'!$B:$B,0))))</f>
        <v/>
      </c>
      <c r="F70" s="42" t="str">
        <f>IF(TournamentData[[#This Row],[Team Number]]="","",IF(ISNA(INDEX('Robot Game Scores'!F:F,MATCH(TournamentData[[#This Row],[Team Number]], 'Robot Game Scores'!$B:$B,0))),0,INDEX('Robot Game Scores'!F:F,MATCH(TournamentData[[#This Row],[Team Number]], 'Robot Game Scores'!$B:$B,0))))</f>
        <v/>
      </c>
      <c r="G70" s="42" t="str">
        <f>IF(TournamentData[[#This Row],[Team Number]]="","",IF(ISNA(INDEX('Robot Game Scores'!G:G,MATCH(TournamentData[[#This Row],[Team Number]], 'Robot Game Scores'!$B:$B,0))),0,INDEX('Robot Game Scores'!G:G,MATCH(TournamentData[[#This Row],[Team Number]], 'Robot Game Scores'!$B:$B,0))))</f>
        <v/>
      </c>
      <c r="H7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0" s="42" t="str">
        <f>IF(TournamentData[[#This Row],[Team Number]]="","",_xlfn.RANK.EQ(TournamentData[[#This Row],[Max Robot Game Score]],TournamentData[Max Robot Game Score]))</f>
        <v/>
      </c>
      <c r="J7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0" s="43" t="str">
        <f>IF(TournamentData[[#This Row],[Team Number]]="","",IF(M70,RANK(M70,M$3:M$110,1)-COUNTIF(M$3:M$110,0),NumberOfTeams+1))</f>
        <v/>
      </c>
      <c r="O70" s="50">
        <f>IF(ISNA(INDEX(CoreValuesResults[Breakthrough Selection],MATCH(TournamentData[[#This Row],[Team Number]],CoreValuesResults[Team Number],0))),0, INDEX(CoreValuesResults[Breakthrough Selection],MATCH(TournamentData[[#This Row],[Team Number]],CoreValuesResults[Team Number],0)))</f>
        <v>0</v>
      </c>
      <c r="P70" s="50">
        <f>IF(ISNA(INDEX(CoreValuesResults[Rising All-Star Selection],MATCH(TournamentData[[#This Row],[Team Number]],CoreValuesResults[Team Number],0))),0, INDEX(CoreValuesResults[Rising All-Star Selection],MATCH(TournamentData[[#This Row],[Team Number]],CoreValuesResults[Team Number],0)))</f>
        <v>0</v>
      </c>
      <c r="Q70" s="50">
        <f>IF(ISNA(INDEX(CoreValuesResults[Motivate Selection],MATCH(TournamentData[[#This Row],[Team Number]],CoreValuesResults[Team Number],0))),0, INDEX(CoreValuesResults[Motivate Selection],MATCH(TournamentData[[#This Row],[Team Number]],CoreValuesResults[Team Number],0)))</f>
        <v>0</v>
      </c>
      <c r="T70" s="46"/>
      <c r="U70" s="40">
        <f>IF(ISNA(INDEX(CoreValuesResults[Core Values Score],MATCH(TournamentData[[#This Row],[Team Number]],CoreValuesResults[Team Number],0))),0,INDEX(CoreValuesResults[Core Values Score],MATCH(TournamentData[[#This Row],[Team Number]],CoreValuesResults[Team Number],0)))</f>
        <v>0</v>
      </c>
      <c r="V7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0" s="40">
        <f>IF(ISNA(INDEX(RobotDesignResults[Robot Design Score],MATCH(TournamentData[[#This Row],[Team Number]],RobotDesignResults[Team Number],0))),0,INDEX(RobotDesignResults[Robot Design Score],MATCH(TournamentData[[#This Row],[Team Number]],RobotDesignResults[Team Number],0)))</f>
        <v>0</v>
      </c>
      <c r="X7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0" s="48">
        <f t="shared" si="2"/>
        <v>0</v>
      </c>
      <c r="AC70" s="72"/>
      <c r="AD70" s="49"/>
      <c r="AE70" s="46"/>
    </row>
    <row r="71" spans="1:31" s="45" customFormat="1" ht="20.25" customHeight="1" x14ac:dyDescent="0.3">
      <c r="A71" s="40"/>
      <c r="B71" s="41" t="str">
        <f>IF(ISNA(INDEX(OfficialTeamList[Team Name],MATCH(TournamentData[[#This Row],[Team Number]], OfficialTeamList[Team Number],0))),"",INDEX(OfficialTeamList[Team Name],MATCH(TournamentData[[#This Row],[Team Number]], OfficialTeamList[Team Number],0)))</f>
        <v/>
      </c>
      <c r="C71" s="42" t="str">
        <f>IF(TournamentData[[#This Row],[Team Number]]="","",IF(ISNA(INDEX('Robot Game Scores'!C:C,MATCH(TournamentData[[#This Row],[Team Number]], 'Robot Game Scores'!$B:$B,0))),0,INDEX('Robot Game Scores'!C:C,MATCH(TournamentData[[#This Row],[Team Number]], 'Robot Game Scores'!$B:$B,0))))</f>
        <v/>
      </c>
      <c r="D71" s="42" t="str">
        <f>IF(TournamentData[[#This Row],[Team Number]]="","",IF(ISNA(INDEX('Robot Game Scores'!D:D,MATCH(TournamentData[[#This Row],[Team Number]], 'Robot Game Scores'!$B:$B,0))),0,INDEX('Robot Game Scores'!D:D,MATCH(TournamentData[[#This Row],[Team Number]], 'Robot Game Scores'!$B:$B,0))))</f>
        <v/>
      </c>
      <c r="E71" s="42" t="str">
        <f>IF(TournamentData[[#This Row],[Team Number]]="","",IF(ISNA(INDEX('Robot Game Scores'!E:E,MATCH(TournamentData[[#This Row],[Team Number]], 'Robot Game Scores'!$B:$B,0))),0,INDEX('Robot Game Scores'!E:E,MATCH(TournamentData[[#This Row],[Team Number]], 'Robot Game Scores'!$B:$B,0))))</f>
        <v/>
      </c>
      <c r="F71" s="42" t="str">
        <f>IF(TournamentData[[#This Row],[Team Number]]="","",IF(ISNA(INDEX('Robot Game Scores'!F:F,MATCH(TournamentData[[#This Row],[Team Number]], 'Robot Game Scores'!$B:$B,0))),0,INDEX('Robot Game Scores'!F:F,MATCH(TournamentData[[#This Row],[Team Number]], 'Robot Game Scores'!$B:$B,0))))</f>
        <v/>
      </c>
      <c r="G71" s="42" t="str">
        <f>IF(TournamentData[[#This Row],[Team Number]]="","",IF(ISNA(INDEX('Robot Game Scores'!G:G,MATCH(TournamentData[[#This Row],[Team Number]], 'Robot Game Scores'!$B:$B,0))),0,INDEX('Robot Game Scores'!G:G,MATCH(TournamentData[[#This Row],[Team Number]], 'Robot Game Scores'!$B:$B,0))))</f>
        <v/>
      </c>
      <c r="H7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1" s="42" t="str">
        <f>IF(TournamentData[[#This Row],[Team Number]]="","",_xlfn.RANK.EQ(TournamentData[[#This Row],[Max Robot Game Score]],TournamentData[Max Robot Game Score]))</f>
        <v/>
      </c>
      <c r="J7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1" s="43" t="str">
        <f>IF(TournamentData[[#This Row],[Team Number]]="","",IF(M71,RANK(M71,M$3:M$110,1)-COUNTIF(M$3:M$110,0),NumberOfTeams+1))</f>
        <v/>
      </c>
      <c r="O71" s="50">
        <f>IF(ISNA(INDEX(CoreValuesResults[Breakthrough Selection],MATCH(TournamentData[[#This Row],[Team Number]],CoreValuesResults[Team Number],0))),0, INDEX(CoreValuesResults[Breakthrough Selection],MATCH(TournamentData[[#This Row],[Team Number]],CoreValuesResults[Team Number],0)))</f>
        <v>0</v>
      </c>
      <c r="P71" s="50">
        <f>IF(ISNA(INDEX(CoreValuesResults[Rising All-Star Selection],MATCH(TournamentData[[#This Row],[Team Number]],CoreValuesResults[Team Number],0))),0, INDEX(CoreValuesResults[Rising All-Star Selection],MATCH(TournamentData[[#This Row],[Team Number]],CoreValuesResults[Team Number],0)))</f>
        <v>0</v>
      </c>
      <c r="Q71" s="50">
        <f>IF(ISNA(INDEX(CoreValuesResults[Motivate Selection],MATCH(TournamentData[[#This Row],[Team Number]],CoreValuesResults[Team Number],0))),0, INDEX(CoreValuesResults[Motivate Selection],MATCH(TournamentData[[#This Row],[Team Number]],CoreValuesResults[Team Number],0)))</f>
        <v>0</v>
      </c>
      <c r="T71" s="46"/>
      <c r="U71" s="40">
        <f>IF(ISNA(INDEX(CoreValuesResults[Core Values Score],MATCH(TournamentData[[#This Row],[Team Number]],CoreValuesResults[Team Number],0))),0,INDEX(CoreValuesResults[Core Values Score],MATCH(TournamentData[[#This Row],[Team Number]],CoreValuesResults[Team Number],0)))</f>
        <v>0</v>
      </c>
      <c r="V7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1" s="40">
        <f>IF(ISNA(INDEX(RobotDesignResults[Robot Design Score],MATCH(TournamentData[[#This Row],[Team Number]],RobotDesignResults[Team Number],0))),0,INDEX(RobotDesignResults[Robot Design Score],MATCH(TournamentData[[#This Row],[Team Number]],RobotDesignResults[Team Number],0)))</f>
        <v>0</v>
      </c>
      <c r="X7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1" s="48">
        <f t="shared" si="2"/>
        <v>0</v>
      </c>
      <c r="AC71" s="72"/>
      <c r="AD71" s="49"/>
      <c r="AE71" s="46"/>
    </row>
    <row r="72" spans="1:31" s="45" customFormat="1" ht="20.25" customHeight="1" x14ac:dyDescent="0.3">
      <c r="A72" s="40"/>
      <c r="B72" s="41" t="str">
        <f>IF(ISNA(INDEX(OfficialTeamList[Team Name],MATCH(TournamentData[[#This Row],[Team Number]], OfficialTeamList[Team Number],0))),"",INDEX(OfficialTeamList[Team Name],MATCH(TournamentData[[#This Row],[Team Number]], OfficialTeamList[Team Number],0)))</f>
        <v/>
      </c>
      <c r="C72" s="42" t="str">
        <f>IF(TournamentData[[#This Row],[Team Number]]="","",IF(ISNA(INDEX('Robot Game Scores'!C:C,MATCH(TournamentData[[#This Row],[Team Number]], 'Robot Game Scores'!$B:$B,0))),0,INDEX('Robot Game Scores'!C:C,MATCH(TournamentData[[#This Row],[Team Number]], 'Robot Game Scores'!$B:$B,0))))</f>
        <v/>
      </c>
      <c r="D72" s="42" t="str">
        <f>IF(TournamentData[[#This Row],[Team Number]]="","",IF(ISNA(INDEX('Robot Game Scores'!D:D,MATCH(TournamentData[[#This Row],[Team Number]], 'Robot Game Scores'!$B:$B,0))),0,INDEX('Robot Game Scores'!D:D,MATCH(TournamentData[[#This Row],[Team Number]], 'Robot Game Scores'!$B:$B,0))))</f>
        <v/>
      </c>
      <c r="E72" s="42" t="str">
        <f>IF(TournamentData[[#This Row],[Team Number]]="","",IF(ISNA(INDEX('Robot Game Scores'!E:E,MATCH(TournamentData[[#This Row],[Team Number]], 'Robot Game Scores'!$B:$B,0))),0,INDEX('Robot Game Scores'!E:E,MATCH(TournamentData[[#This Row],[Team Number]], 'Robot Game Scores'!$B:$B,0))))</f>
        <v/>
      </c>
      <c r="F72" s="42" t="str">
        <f>IF(TournamentData[[#This Row],[Team Number]]="","",IF(ISNA(INDEX('Robot Game Scores'!F:F,MATCH(TournamentData[[#This Row],[Team Number]], 'Robot Game Scores'!$B:$B,0))),0,INDEX('Robot Game Scores'!F:F,MATCH(TournamentData[[#This Row],[Team Number]], 'Robot Game Scores'!$B:$B,0))))</f>
        <v/>
      </c>
      <c r="G72" s="42" t="str">
        <f>IF(TournamentData[[#This Row],[Team Number]]="","",IF(ISNA(INDEX('Robot Game Scores'!G:G,MATCH(TournamentData[[#This Row],[Team Number]], 'Robot Game Scores'!$B:$B,0))),0,INDEX('Robot Game Scores'!G:G,MATCH(TournamentData[[#This Row],[Team Number]], 'Robot Game Scores'!$B:$B,0))))</f>
        <v/>
      </c>
      <c r="H7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2" s="42" t="str">
        <f>IF(TournamentData[[#This Row],[Team Number]]="","",_xlfn.RANK.EQ(TournamentData[[#This Row],[Max Robot Game Score]],TournamentData[Max Robot Game Score]))</f>
        <v/>
      </c>
      <c r="J7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2" s="43" t="str">
        <f>IF(TournamentData[[#This Row],[Team Number]]="","",IF(M72,RANK(M72,M$3:M$110,1)-COUNTIF(M$3:M$110,0),NumberOfTeams+1))</f>
        <v/>
      </c>
      <c r="O72" s="50">
        <f>IF(ISNA(INDEX(CoreValuesResults[Breakthrough Selection],MATCH(TournamentData[[#This Row],[Team Number]],CoreValuesResults[Team Number],0))),0, INDEX(CoreValuesResults[Breakthrough Selection],MATCH(TournamentData[[#This Row],[Team Number]],CoreValuesResults[Team Number],0)))</f>
        <v>0</v>
      </c>
      <c r="P72" s="50">
        <f>IF(ISNA(INDEX(CoreValuesResults[Rising All-Star Selection],MATCH(TournamentData[[#This Row],[Team Number]],CoreValuesResults[Team Number],0))),0, INDEX(CoreValuesResults[Rising All-Star Selection],MATCH(TournamentData[[#This Row],[Team Number]],CoreValuesResults[Team Number],0)))</f>
        <v>0</v>
      </c>
      <c r="Q72" s="50">
        <f>IF(ISNA(INDEX(CoreValuesResults[Motivate Selection],MATCH(TournamentData[[#This Row],[Team Number]],CoreValuesResults[Team Number],0))),0, INDEX(CoreValuesResults[Motivate Selection],MATCH(TournamentData[[#This Row],[Team Number]],CoreValuesResults[Team Number],0)))</f>
        <v>0</v>
      </c>
      <c r="T72" s="46"/>
      <c r="U72" s="40">
        <f>IF(ISNA(INDEX(CoreValuesResults[Core Values Score],MATCH(TournamentData[[#This Row],[Team Number]],CoreValuesResults[Team Number],0))),0,INDEX(CoreValuesResults[Core Values Score],MATCH(TournamentData[[#This Row],[Team Number]],CoreValuesResults[Team Number],0)))</f>
        <v>0</v>
      </c>
      <c r="V7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2" s="40">
        <f>IF(ISNA(INDEX(RobotDesignResults[Robot Design Score],MATCH(TournamentData[[#This Row],[Team Number]],RobotDesignResults[Team Number],0))),0,INDEX(RobotDesignResults[Robot Design Score],MATCH(TournamentData[[#This Row],[Team Number]],RobotDesignResults[Team Number],0)))</f>
        <v>0</v>
      </c>
      <c r="X7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2" s="48">
        <f t="shared" si="2"/>
        <v>0</v>
      </c>
      <c r="AC72" s="72"/>
      <c r="AD72" s="49"/>
      <c r="AE72" s="46"/>
    </row>
    <row r="73" spans="1:31" s="45" customFormat="1" ht="20.25" customHeight="1" x14ac:dyDescent="0.3">
      <c r="A73" s="40"/>
      <c r="B73" s="41" t="str">
        <f>IF(ISNA(INDEX(OfficialTeamList[Team Name],MATCH(TournamentData[[#This Row],[Team Number]], OfficialTeamList[Team Number],0))),"",INDEX(OfficialTeamList[Team Name],MATCH(TournamentData[[#This Row],[Team Number]], OfficialTeamList[Team Number],0)))</f>
        <v/>
      </c>
      <c r="C73" s="42" t="str">
        <f>IF(TournamentData[[#This Row],[Team Number]]="","",IF(ISNA(INDEX('Robot Game Scores'!C:C,MATCH(TournamentData[[#This Row],[Team Number]], 'Robot Game Scores'!$B:$B,0))),0,INDEX('Robot Game Scores'!C:C,MATCH(TournamentData[[#This Row],[Team Number]], 'Robot Game Scores'!$B:$B,0))))</f>
        <v/>
      </c>
      <c r="D73" s="42" t="str">
        <f>IF(TournamentData[[#This Row],[Team Number]]="","",IF(ISNA(INDEX('Robot Game Scores'!D:D,MATCH(TournamentData[[#This Row],[Team Number]], 'Robot Game Scores'!$B:$B,0))),0,INDEX('Robot Game Scores'!D:D,MATCH(TournamentData[[#This Row],[Team Number]], 'Robot Game Scores'!$B:$B,0))))</f>
        <v/>
      </c>
      <c r="E73" s="42" t="str">
        <f>IF(TournamentData[[#This Row],[Team Number]]="","",IF(ISNA(INDEX('Robot Game Scores'!E:E,MATCH(TournamentData[[#This Row],[Team Number]], 'Robot Game Scores'!$B:$B,0))),0,INDEX('Robot Game Scores'!E:E,MATCH(TournamentData[[#This Row],[Team Number]], 'Robot Game Scores'!$B:$B,0))))</f>
        <v/>
      </c>
      <c r="F73" s="42" t="str">
        <f>IF(TournamentData[[#This Row],[Team Number]]="","",IF(ISNA(INDEX('Robot Game Scores'!F:F,MATCH(TournamentData[[#This Row],[Team Number]], 'Robot Game Scores'!$B:$B,0))),0,INDEX('Robot Game Scores'!F:F,MATCH(TournamentData[[#This Row],[Team Number]], 'Robot Game Scores'!$B:$B,0))))</f>
        <v/>
      </c>
      <c r="G73" s="42" t="str">
        <f>IF(TournamentData[[#This Row],[Team Number]]="","",IF(ISNA(INDEX('Robot Game Scores'!G:G,MATCH(TournamentData[[#This Row],[Team Number]], 'Robot Game Scores'!$B:$B,0))),0,INDEX('Robot Game Scores'!G:G,MATCH(TournamentData[[#This Row],[Team Number]], 'Robot Game Scores'!$B:$B,0))))</f>
        <v/>
      </c>
      <c r="H7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3" s="42" t="str">
        <f>IF(TournamentData[[#This Row],[Team Number]]="","",_xlfn.RANK.EQ(TournamentData[[#This Row],[Max Robot Game Score]],TournamentData[Max Robot Game Score]))</f>
        <v/>
      </c>
      <c r="J7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3" s="43" t="str">
        <f>IF(TournamentData[[#This Row],[Team Number]]="","",IF(M73,RANK(M73,M$3:M$110,1)-COUNTIF(M$3:M$110,0),NumberOfTeams+1))</f>
        <v/>
      </c>
      <c r="O73" s="50">
        <f>IF(ISNA(INDEX(CoreValuesResults[Breakthrough Selection],MATCH(TournamentData[[#This Row],[Team Number]],CoreValuesResults[Team Number],0))),0, INDEX(CoreValuesResults[Breakthrough Selection],MATCH(TournamentData[[#This Row],[Team Number]],CoreValuesResults[Team Number],0)))</f>
        <v>0</v>
      </c>
      <c r="P73" s="50">
        <f>IF(ISNA(INDEX(CoreValuesResults[Rising All-Star Selection],MATCH(TournamentData[[#This Row],[Team Number]],CoreValuesResults[Team Number],0))),0, INDEX(CoreValuesResults[Rising All-Star Selection],MATCH(TournamentData[[#This Row],[Team Number]],CoreValuesResults[Team Number],0)))</f>
        <v>0</v>
      </c>
      <c r="Q73" s="50">
        <f>IF(ISNA(INDEX(CoreValuesResults[Motivate Selection],MATCH(TournamentData[[#This Row],[Team Number]],CoreValuesResults[Team Number],0))),0, INDEX(CoreValuesResults[Motivate Selection],MATCH(TournamentData[[#This Row],[Team Number]],CoreValuesResults[Team Number],0)))</f>
        <v>0</v>
      </c>
      <c r="T73" s="46"/>
      <c r="U73" s="40">
        <f>IF(ISNA(INDEX(CoreValuesResults[Core Values Score],MATCH(TournamentData[[#This Row],[Team Number]],CoreValuesResults[Team Number],0))),0,INDEX(CoreValuesResults[Core Values Score],MATCH(TournamentData[[#This Row],[Team Number]],CoreValuesResults[Team Number],0)))</f>
        <v>0</v>
      </c>
      <c r="V7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3" s="40">
        <f>IF(ISNA(INDEX(RobotDesignResults[Robot Design Score],MATCH(TournamentData[[#This Row],[Team Number]],RobotDesignResults[Team Number],0))),0,INDEX(RobotDesignResults[Robot Design Score],MATCH(TournamentData[[#This Row],[Team Number]],RobotDesignResults[Team Number],0)))</f>
        <v>0</v>
      </c>
      <c r="X7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3" s="48">
        <f t="shared" si="2"/>
        <v>0</v>
      </c>
      <c r="AC73" s="72"/>
      <c r="AD73" s="49"/>
      <c r="AE73" s="46"/>
    </row>
    <row r="74" spans="1:31" s="45" customFormat="1" ht="20.25" customHeight="1" x14ac:dyDescent="0.3">
      <c r="A74" s="40"/>
      <c r="B74" s="41" t="str">
        <f>IF(ISNA(INDEX(OfficialTeamList[Team Name],MATCH(TournamentData[[#This Row],[Team Number]], OfficialTeamList[Team Number],0))),"",INDEX(OfficialTeamList[Team Name],MATCH(TournamentData[[#This Row],[Team Number]], OfficialTeamList[Team Number],0)))</f>
        <v/>
      </c>
      <c r="C74" s="42" t="str">
        <f>IF(TournamentData[[#This Row],[Team Number]]="","",IF(ISNA(INDEX('Robot Game Scores'!C:C,MATCH(TournamentData[[#This Row],[Team Number]], 'Robot Game Scores'!$B:$B,0))),0,INDEX('Robot Game Scores'!C:C,MATCH(TournamentData[[#This Row],[Team Number]], 'Robot Game Scores'!$B:$B,0))))</f>
        <v/>
      </c>
      <c r="D74" s="42" t="str">
        <f>IF(TournamentData[[#This Row],[Team Number]]="","",IF(ISNA(INDEX('Robot Game Scores'!D:D,MATCH(TournamentData[[#This Row],[Team Number]], 'Robot Game Scores'!$B:$B,0))),0,INDEX('Robot Game Scores'!D:D,MATCH(TournamentData[[#This Row],[Team Number]], 'Robot Game Scores'!$B:$B,0))))</f>
        <v/>
      </c>
      <c r="E74" s="42" t="str">
        <f>IF(TournamentData[[#This Row],[Team Number]]="","",IF(ISNA(INDEX('Robot Game Scores'!E:E,MATCH(TournamentData[[#This Row],[Team Number]], 'Robot Game Scores'!$B:$B,0))),0,INDEX('Robot Game Scores'!E:E,MATCH(TournamentData[[#This Row],[Team Number]], 'Robot Game Scores'!$B:$B,0))))</f>
        <v/>
      </c>
      <c r="F74" s="42" t="str">
        <f>IF(TournamentData[[#This Row],[Team Number]]="","",IF(ISNA(INDEX('Robot Game Scores'!F:F,MATCH(TournamentData[[#This Row],[Team Number]], 'Robot Game Scores'!$B:$B,0))),0,INDEX('Robot Game Scores'!F:F,MATCH(TournamentData[[#This Row],[Team Number]], 'Robot Game Scores'!$B:$B,0))))</f>
        <v/>
      </c>
      <c r="G74" s="42" t="str">
        <f>IF(TournamentData[[#This Row],[Team Number]]="","",IF(ISNA(INDEX('Robot Game Scores'!G:G,MATCH(TournamentData[[#This Row],[Team Number]], 'Robot Game Scores'!$B:$B,0))),0,INDEX('Robot Game Scores'!G:G,MATCH(TournamentData[[#This Row],[Team Number]], 'Robot Game Scores'!$B:$B,0))))</f>
        <v/>
      </c>
      <c r="H7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4" s="42" t="str">
        <f>IF(TournamentData[[#This Row],[Team Number]]="","",_xlfn.RANK.EQ(TournamentData[[#This Row],[Max Robot Game Score]],TournamentData[Max Robot Game Score]))</f>
        <v/>
      </c>
      <c r="J7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4" s="43" t="str">
        <f>IF(TournamentData[[#This Row],[Team Number]]="","",IF(M74,RANK(M74,M$3:M$110,1)-COUNTIF(M$3:M$110,0),NumberOfTeams+1))</f>
        <v/>
      </c>
      <c r="O74" s="50">
        <f>IF(ISNA(INDEX(CoreValuesResults[Breakthrough Selection],MATCH(TournamentData[[#This Row],[Team Number]],CoreValuesResults[Team Number],0))),0, INDEX(CoreValuesResults[Breakthrough Selection],MATCH(TournamentData[[#This Row],[Team Number]],CoreValuesResults[Team Number],0)))</f>
        <v>0</v>
      </c>
      <c r="P74" s="50">
        <f>IF(ISNA(INDEX(CoreValuesResults[Rising All-Star Selection],MATCH(TournamentData[[#This Row],[Team Number]],CoreValuesResults[Team Number],0))),0, INDEX(CoreValuesResults[Rising All-Star Selection],MATCH(TournamentData[[#This Row],[Team Number]],CoreValuesResults[Team Number],0)))</f>
        <v>0</v>
      </c>
      <c r="Q74" s="50">
        <f>IF(ISNA(INDEX(CoreValuesResults[Motivate Selection],MATCH(TournamentData[[#This Row],[Team Number]],CoreValuesResults[Team Number],0))),0, INDEX(CoreValuesResults[Motivate Selection],MATCH(TournamentData[[#This Row],[Team Number]],CoreValuesResults[Team Number],0)))</f>
        <v>0</v>
      </c>
      <c r="T74" s="46"/>
      <c r="U74" s="40">
        <f>IF(ISNA(INDEX(CoreValuesResults[Core Values Score],MATCH(TournamentData[[#This Row],[Team Number]],CoreValuesResults[Team Number],0))),0,INDEX(CoreValuesResults[Core Values Score],MATCH(TournamentData[[#This Row],[Team Number]],CoreValuesResults[Team Number],0)))</f>
        <v>0</v>
      </c>
      <c r="V7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4" s="40">
        <f>IF(ISNA(INDEX(RobotDesignResults[Robot Design Score],MATCH(TournamentData[[#This Row],[Team Number]],RobotDesignResults[Team Number],0))),0,INDEX(RobotDesignResults[Robot Design Score],MATCH(TournamentData[[#This Row],[Team Number]],RobotDesignResults[Team Number],0)))</f>
        <v>0</v>
      </c>
      <c r="X7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4" s="48">
        <f t="shared" si="2"/>
        <v>0</v>
      </c>
      <c r="AC74" s="72"/>
      <c r="AD74" s="49"/>
      <c r="AE74" s="46"/>
    </row>
    <row r="75" spans="1:31" s="45" customFormat="1" ht="20.25" customHeight="1" x14ac:dyDescent="0.3">
      <c r="A75" s="40"/>
      <c r="B75" s="41" t="str">
        <f>IF(ISNA(INDEX(OfficialTeamList[Team Name],MATCH(TournamentData[[#This Row],[Team Number]], OfficialTeamList[Team Number],0))),"",INDEX(OfficialTeamList[Team Name],MATCH(TournamentData[[#This Row],[Team Number]], OfficialTeamList[Team Number],0)))</f>
        <v/>
      </c>
      <c r="C75" s="42" t="str">
        <f>IF(TournamentData[[#This Row],[Team Number]]="","",IF(ISNA(INDEX('Robot Game Scores'!C:C,MATCH(TournamentData[[#This Row],[Team Number]], 'Robot Game Scores'!$B:$B,0))),0,INDEX('Robot Game Scores'!C:C,MATCH(TournamentData[[#This Row],[Team Number]], 'Robot Game Scores'!$B:$B,0))))</f>
        <v/>
      </c>
      <c r="D75" s="42" t="str">
        <f>IF(TournamentData[[#This Row],[Team Number]]="","",IF(ISNA(INDEX('Robot Game Scores'!D:D,MATCH(TournamentData[[#This Row],[Team Number]], 'Robot Game Scores'!$B:$B,0))),0,INDEX('Robot Game Scores'!D:D,MATCH(TournamentData[[#This Row],[Team Number]], 'Robot Game Scores'!$B:$B,0))))</f>
        <v/>
      </c>
      <c r="E75" s="42" t="str">
        <f>IF(TournamentData[[#This Row],[Team Number]]="","",IF(ISNA(INDEX('Robot Game Scores'!E:E,MATCH(TournamentData[[#This Row],[Team Number]], 'Robot Game Scores'!$B:$B,0))),0,INDEX('Robot Game Scores'!E:E,MATCH(TournamentData[[#This Row],[Team Number]], 'Robot Game Scores'!$B:$B,0))))</f>
        <v/>
      </c>
      <c r="F75" s="42" t="str">
        <f>IF(TournamentData[[#This Row],[Team Number]]="","",IF(ISNA(INDEX('Robot Game Scores'!F:F,MATCH(TournamentData[[#This Row],[Team Number]], 'Robot Game Scores'!$B:$B,0))),0,INDEX('Robot Game Scores'!F:F,MATCH(TournamentData[[#This Row],[Team Number]], 'Robot Game Scores'!$B:$B,0))))</f>
        <v/>
      </c>
      <c r="G75" s="42" t="str">
        <f>IF(TournamentData[[#This Row],[Team Number]]="","",IF(ISNA(INDEX('Robot Game Scores'!G:G,MATCH(TournamentData[[#This Row],[Team Number]], 'Robot Game Scores'!$B:$B,0))),0,INDEX('Robot Game Scores'!G:G,MATCH(TournamentData[[#This Row],[Team Number]], 'Robot Game Scores'!$B:$B,0))))</f>
        <v/>
      </c>
      <c r="H7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5" s="42" t="str">
        <f>IF(TournamentData[[#This Row],[Team Number]]="","",_xlfn.RANK.EQ(TournamentData[[#This Row],[Max Robot Game Score]],TournamentData[Max Robot Game Score]))</f>
        <v/>
      </c>
      <c r="J7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5" s="43" t="str">
        <f>IF(TournamentData[[#This Row],[Team Number]]="","",IF(M75,RANK(M75,M$3:M$110,1)-COUNTIF(M$3:M$110,0),NumberOfTeams+1))</f>
        <v/>
      </c>
      <c r="O75" s="50">
        <f>IF(ISNA(INDEX(CoreValuesResults[Breakthrough Selection],MATCH(TournamentData[[#This Row],[Team Number]],CoreValuesResults[Team Number],0))),0, INDEX(CoreValuesResults[Breakthrough Selection],MATCH(TournamentData[[#This Row],[Team Number]],CoreValuesResults[Team Number],0)))</f>
        <v>0</v>
      </c>
      <c r="P75" s="50">
        <f>IF(ISNA(INDEX(CoreValuesResults[Rising All-Star Selection],MATCH(TournamentData[[#This Row],[Team Number]],CoreValuesResults[Team Number],0))),0, INDEX(CoreValuesResults[Rising All-Star Selection],MATCH(TournamentData[[#This Row],[Team Number]],CoreValuesResults[Team Number],0)))</f>
        <v>0</v>
      </c>
      <c r="Q75" s="50">
        <f>IF(ISNA(INDEX(CoreValuesResults[Motivate Selection],MATCH(TournamentData[[#This Row],[Team Number]],CoreValuesResults[Team Number],0))),0, INDEX(CoreValuesResults[Motivate Selection],MATCH(TournamentData[[#This Row],[Team Number]],CoreValuesResults[Team Number],0)))</f>
        <v>0</v>
      </c>
      <c r="T75" s="46"/>
      <c r="U75" s="40">
        <f>IF(ISNA(INDEX(CoreValuesResults[Core Values Score],MATCH(TournamentData[[#This Row],[Team Number]],CoreValuesResults[Team Number],0))),0,INDEX(CoreValuesResults[Core Values Score],MATCH(TournamentData[[#This Row],[Team Number]],CoreValuesResults[Team Number],0)))</f>
        <v>0</v>
      </c>
      <c r="V7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5" s="40">
        <f>IF(ISNA(INDEX(RobotDesignResults[Robot Design Score],MATCH(TournamentData[[#This Row],[Team Number]],RobotDesignResults[Team Number],0))),0,INDEX(RobotDesignResults[Robot Design Score],MATCH(TournamentData[[#This Row],[Team Number]],RobotDesignResults[Team Number],0)))</f>
        <v>0</v>
      </c>
      <c r="X7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5" s="48">
        <f t="shared" si="2"/>
        <v>0</v>
      </c>
      <c r="AC75" s="72"/>
      <c r="AD75" s="49"/>
      <c r="AE75" s="46"/>
    </row>
    <row r="76" spans="1:31" s="45" customFormat="1" ht="20.25" customHeight="1" x14ac:dyDescent="0.3">
      <c r="A76" s="40"/>
      <c r="B76" s="41" t="str">
        <f>IF(ISNA(INDEX(OfficialTeamList[Team Name],MATCH(TournamentData[[#This Row],[Team Number]], OfficialTeamList[Team Number],0))),"",INDEX(OfficialTeamList[Team Name],MATCH(TournamentData[[#This Row],[Team Number]], OfficialTeamList[Team Number],0)))</f>
        <v/>
      </c>
      <c r="C76" s="42" t="str">
        <f>IF(TournamentData[[#This Row],[Team Number]]="","",IF(ISNA(INDEX('Robot Game Scores'!C:C,MATCH(TournamentData[[#This Row],[Team Number]], 'Robot Game Scores'!$B:$B,0))),0,INDEX('Robot Game Scores'!C:C,MATCH(TournamentData[[#This Row],[Team Number]], 'Robot Game Scores'!$B:$B,0))))</f>
        <v/>
      </c>
      <c r="D76" s="42" t="str">
        <f>IF(TournamentData[[#This Row],[Team Number]]="","",IF(ISNA(INDEX('Robot Game Scores'!D:D,MATCH(TournamentData[[#This Row],[Team Number]], 'Robot Game Scores'!$B:$B,0))),0,INDEX('Robot Game Scores'!D:D,MATCH(TournamentData[[#This Row],[Team Number]], 'Robot Game Scores'!$B:$B,0))))</f>
        <v/>
      </c>
      <c r="E76" s="42" t="str">
        <f>IF(TournamentData[[#This Row],[Team Number]]="","",IF(ISNA(INDEX('Robot Game Scores'!E:E,MATCH(TournamentData[[#This Row],[Team Number]], 'Robot Game Scores'!$B:$B,0))),0,INDEX('Robot Game Scores'!E:E,MATCH(TournamentData[[#This Row],[Team Number]], 'Robot Game Scores'!$B:$B,0))))</f>
        <v/>
      </c>
      <c r="F76" s="42" t="str">
        <f>IF(TournamentData[[#This Row],[Team Number]]="","",IF(ISNA(INDEX('Robot Game Scores'!F:F,MATCH(TournamentData[[#This Row],[Team Number]], 'Robot Game Scores'!$B:$B,0))),0,INDEX('Robot Game Scores'!F:F,MATCH(TournamentData[[#This Row],[Team Number]], 'Robot Game Scores'!$B:$B,0))))</f>
        <v/>
      </c>
      <c r="G76" s="42" t="str">
        <f>IF(TournamentData[[#This Row],[Team Number]]="","",IF(ISNA(INDEX('Robot Game Scores'!G:G,MATCH(TournamentData[[#This Row],[Team Number]], 'Robot Game Scores'!$B:$B,0))),0,INDEX('Robot Game Scores'!G:G,MATCH(TournamentData[[#This Row],[Team Number]], 'Robot Game Scores'!$B:$B,0))))</f>
        <v/>
      </c>
      <c r="H7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6" s="42" t="str">
        <f>IF(TournamentData[[#This Row],[Team Number]]="","",_xlfn.RANK.EQ(TournamentData[[#This Row],[Max Robot Game Score]],TournamentData[Max Robot Game Score]))</f>
        <v/>
      </c>
      <c r="J7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6" s="43" t="str">
        <f>IF(TournamentData[[#This Row],[Team Number]]="","",IF(M76,RANK(M76,M$3:M$110,1)-COUNTIF(M$3:M$110,0),NumberOfTeams+1))</f>
        <v/>
      </c>
      <c r="O76" s="50">
        <f>IF(ISNA(INDEX(CoreValuesResults[Breakthrough Selection],MATCH(TournamentData[[#This Row],[Team Number]],CoreValuesResults[Team Number],0))),0, INDEX(CoreValuesResults[Breakthrough Selection],MATCH(TournamentData[[#This Row],[Team Number]],CoreValuesResults[Team Number],0)))</f>
        <v>0</v>
      </c>
      <c r="P76" s="50">
        <f>IF(ISNA(INDEX(CoreValuesResults[Rising All-Star Selection],MATCH(TournamentData[[#This Row],[Team Number]],CoreValuesResults[Team Number],0))),0, INDEX(CoreValuesResults[Rising All-Star Selection],MATCH(TournamentData[[#This Row],[Team Number]],CoreValuesResults[Team Number],0)))</f>
        <v>0</v>
      </c>
      <c r="Q76" s="50">
        <f>IF(ISNA(INDEX(CoreValuesResults[Motivate Selection],MATCH(TournamentData[[#This Row],[Team Number]],CoreValuesResults[Team Number],0))),0, INDEX(CoreValuesResults[Motivate Selection],MATCH(TournamentData[[#This Row],[Team Number]],CoreValuesResults[Team Number],0)))</f>
        <v>0</v>
      </c>
      <c r="T76" s="46"/>
      <c r="U76" s="40">
        <f>IF(ISNA(INDEX(CoreValuesResults[Core Values Score],MATCH(TournamentData[[#This Row],[Team Number]],CoreValuesResults[Team Number],0))),0,INDEX(CoreValuesResults[Core Values Score],MATCH(TournamentData[[#This Row],[Team Number]],CoreValuesResults[Team Number],0)))</f>
        <v>0</v>
      </c>
      <c r="V7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6" s="40">
        <f>IF(ISNA(INDEX(RobotDesignResults[Robot Design Score],MATCH(TournamentData[[#This Row],[Team Number]],RobotDesignResults[Team Number],0))),0,INDEX(RobotDesignResults[Robot Design Score],MATCH(TournamentData[[#This Row],[Team Number]],RobotDesignResults[Team Number],0)))</f>
        <v>0</v>
      </c>
      <c r="X7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6" s="48">
        <f t="shared" si="2"/>
        <v>0</v>
      </c>
      <c r="AC76" s="72"/>
      <c r="AD76" s="49"/>
      <c r="AE76" s="46"/>
    </row>
    <row r="77" spans="1:31" s="45" customFormat="1" ht="20.25" customHeight="1" x14ac:dyDescent="0.3">
      <c r="A77" s="40"/>
      <c r="B77" s="41" t="str">
        <f>IF(ISNA(INDEX(OfficialTeamList[Team Name],MATCH(TournamentData[[#This Row],[Team Number]], OfficialTeamList[Team Number],0))),"",INDEX(OfficialTeamList[Team Name],MATCH(TournamentData[[#This Row],[Team Number]], OfficialTeamList[Team Number],0)))</f>
        <v/>
      </c>
      <c r="C77" s="42" t="str">
        <f>IF(TournamentData[[#This Row],[Team Number]]="","",IF(ISNA(INDEX('Robot Game Scores'!C:C,MATCH(TournamentData[[#This Row],[Team Number]], 'Robot Game Scores'!$B:$B,0))),0,INDEX('Robot Game Scores'!C:C,MATCH(TournamentData[[#This Row],[Team Number]], 'Robot Game Scores'!$B:$B,0))))</f>
        <v/>
      </c>
      <c r="D77" s="42" t="str">
        <f>IF(TournamentData[[#This Row],[Team Number]]="","",IF(ISNA(INDEX('Robot Game Scores'!D:D,MATCH(TournamentData[[#This Row],[Team Number]], 'Robot Game Scores'!$B:$B,0))),0,INDEX('Robot Game Scores'!D:D,MATCH(TournamentData[[#This Row],[Team Number]], 'Robot Game Scores'!$B:$B,0))))</f>
        <v/>
      </c>
      <c r="E77" s="42" t="str">
        <f>IF(TournamentData[[#This Row],[Team Number]]="","",IF(ISNA(INDEX('Robot Game Scores'!E:E,MATCH(TournamentData[[#This Row],[Team Number]], 'Robot Game Scores'!$B:$B,0))),0,INDEX('Robot Game Scores'!E:E,MATCH(TournamentData[[#This Row],[Team Number]], 'Robot Game Scores'!$B:$B,0))))</f>
        <v/>
      </c>
      <c r="F77" s="42" t="str">
        <f>IF(TournamentData[[#This Row],[Team Number]]="","",IF(ISNA(INDEX('Robot Game Scores'!F:F,MATCH(TournamentData[[#This Row],[Team Number]], 'Robot Game Scores'!$B:$B,0))),0,INDEX('Robot Game Scores'!F:F,MATCH(TournamentData[[#This Row],[Team Number]], 'Robot Game Scores'!$B:$B,0))))</f>
        <v/>
      </c>
      <c r="G77" s="42" t="str">
        <f>IF(TournamentData[[#This Row],[Team Number]]="","",IF(ISNA(INDEX('Robot Game Scores'!G:G,MATCH(TournamentData[[#This Row],[Team Number]], 'Robot Game Scores'!$B:$B,0))),0,INDEX('Robot Game Scores'!G:G,MATCH(TournamentData[[#This Row],[Team Number]], 'Robot Game Scores'!$B:$B,0))))</f>
        <v/>
      </c>
      <c r="H7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7" s="42" t="str">
        <f>IF(TournamentData[[#This Row],[Team Number]]="","",_xlfn.RANK.EQ(TournamentData[[#This Row],[Max Robot Game Score]],TournamentData[Max Robot Game Score]))</f>
        <v/>
      </c>
      <c r="J7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7" s="43" t="str">
        <f>IF(TournamentData[[#This Row],[Team Number]]="","",IF(M77,RANK(M77,M$3:M$110,1)-COUNTIF(M$3:M$110,0),NumberOfTeams+1))</f>
        <v/>
      </c>
      <c r="O77" s="50">
        <f>IF(ISNA(INDEX(CoreValuesResults[Breakthrough Selection],MATCH(TournamentData[[#This Row],[Team Number]],CoreValuesResults[Team Number],0))),0, INDEX(CoreValuesResults[Breakthrough Selection],MATCH(TournamentData[[#This Row],[Team Number]],CoreValuesResults[Team Number],0)))</f>
        <v>0</v>
      </c>
      <c r="P77" s="50">
        <f>IF(ISNA(INDEX(CoreValuesResults[Rising All-Star Selection],MATCH(TournamentData[[#This Row],[Team Number]],CoreValuesResults[Team Number],0))),0, INDEX(CoreValuesResults[Rising All-Star Selection],MATCH(TournamentData[[#This Row],[Team Number]],CoreValuesResults[Team Number],0)))</f>
        <v>0</v>
      </c>
      <c r="Q77" s="50">
        <f>IF(ISNA(INDEX(CoreValuesResults[Motivate Selection],MATCH(TournamentData[[#This Row],[Team Number]],CoreValuesResults[Team Number],0))),0, INDEX(CoreValuesResults[Motivate Selection],MATCH(TournamentData[[#This Row],[Team Number]],CoreValuesResults[Team Number],0)))</f>
        <v>0</v>
      </c>
      <c r="T77" s="46"/>
      <c r="U77" s="40">
        <f>IF(ISNA(INDEX(CoreValuesResults[Core Values Score],MATCH(TournamentData[[#This Row],[Team Number]],CoreValuesResults[Team Number],0))),0,INDEX(CoreValuesResults[Core Values Score],MATCH(TournamentData[[#This Row],[Team Number]],CoreValuesResults[Team Number],0)))</f>
        <v>0</v>
      </c>
      <c r="V7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7" s="40">
        <f>IF(ISNA(INDEX(RobotDesignResults[Robot Design Score],MATCH(TournamentData[[#This Row],[Team Number]],RobotDesignResults[Team Number],0))),0,INDEX(RobotDesignResults[Robot Design Score],MATCH(TournamentData[[#This Row],[Team Number]],RobotDesignResults[Team Number],0)))</f>
        <v>0</v>
      </c>
      <c r="X7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7" s="48">
        <f t="shared" si="2"/>
        <v>0</v>
      </c>
      <c r="AC77" s="72"/>
      <c r="AD77" s="49"/>
      <c r="AE77" s="46"/>
    </row>
    <row r="78" spans="1:31" s="45" customFormat="1" ht="20.25" customHeight="1" x14ac:dyDescent="0.3">
      <c r="A78" s="40"/>
      <c r="B78" s="41" t="str">
        <f>IF(ISNA(INDEX(OfficialTeamList[Team Name],MATCH(TournamentData[[#This Row],[Team Number]], OfficialTeamList[Team Number],0))),"",INDEX(OfficialTeamList[Team Name],MATCH(TournamentData[[#This Row],[Team Number]], OfficialTeamList[Team Number],0)))</f>
        <v/>
      </c>
      <c r="C78" s="42" t="str">
        <f>IF(TournamentData[[#This Row],[Team Number]]="","",IF(ISNA(INDEX('Robot Game Scores'!C:C,MATCH(TournamentData[[#This Row],[Team Number]], 'Robot Game Scores'!$B:$B,0))),0,INDEX('Robot Game Scores'!C:C,MATCH(TournamentData[[#This Row],[Team Number]], 'Robot Game Scores'!$B:$B,0))))</f>
        <v/>
      </c>
      <c r="D78" s="42" t="str">
        <f>IF(TournamentData[[#This Row],[Team Number]]="","",IF(ISNA(INDEX('Robot Game Scores'!D:D,MATCH(TournamentData[[#This Row],[Team Number]], 'Robot Game Scores'!$B:$B,0))),0,INDEX('Robot Game Scores'!D:D,MATCH(TournamentData[[#This Row],[Team Number]], 'Robot Game Scores'!$B:$B,0))))</f>
        <v/>
      </c>
      <c r="E78" s="42" t="str">
        <f>IF(TournamentData[[#This Row],[Team Number]]="","",IF(ISNA(INDEX('Robot Game Scores'!E:E,MATCH(TournamentData[[#This Row],[Team Number]], 'Robot Game Scores'!$B:$B,0))),0,INDEX('Robot Game Scores'!E:E,MATCH(TournamentData[[#This Row],[Team Number]], 'Robot Game Scores'!$B:$B,0))))</f>
        <v/>
      </c>
      <c r="F78" s="42" t="str">
        <f>IF(TournamentData[[#This Row],[Team Number]]="","",IF(ISNA(INDEX('Robot Game Scores'!F:F,MATCH(TournamentData[[#This Row],[Team Number]], 'Robot Game Scores'!$B:$B,0))),0,INDEX('Robot Game Scores'!F:F,MATCH(TournamentData[[#This Row],[Team Number]], 'Robot Game Scores'!$B:$B,0))))</f>
        <v/>
      </c>
      <c r="G78" s="42" t="str">
        <f>IF(TournamentData[[#This Row],[Team Number]]="","",IF(ISNA(INDEX('Robot Game Scores'!G:G,MATCH(TournamentData[[#This Row],[Team Number]], 'Robot Game Scores'!$B:$B,0))),0,INDEX('Robot Game Scores'!G:G,MATCH(TournamentData[[#This Row],[Team Number]], 'Robot Game Scores'!$B:$B,0))))</f>
        <v/>
      </c>
      <c r="H7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8" s="42" t="str">
        <f>IF(TournamentData[[#This Row],[Team Number]]="","",_xlfn.RANK.EQ(TournamentData[[#This Row],[Max Robot Game Score]],TournamentData[Max Robot Game Score]))</f>
        <v/>
      </c>
      <c r="J7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8" s="43" t="str">
        <f>IF(TournamentData[[#This Row],[Team Number]]="","",IF(M78,RANK(M78,M$3:M$110,1)-COUNTIF(M$3:M$110,0),NumberOfTeams+1))</f>
        <v/>
      </c>
      <c r="O78" s="50">
        <f>IF(ISNA(INDEX(CoreValuesResults[Breakthrough Selection],MATCH(TournamentData[[#This Row],[Team Number]],CoreValuesResults[Team Number],0))),0, INDEX(CoreValuesResults[Breakthrough Selection],MATCH(TournamentData[[#This Row],[Team Number]],CoreValuesResults[Team Number],0)))</f>
        <v>0</v>
      </c>
      <c r="P78" s="50">
        <f>IF(ISNA(INDEX(CoreValuesResults[Rising All-Star Selection],MATCH(TournamentData[[#This Row],[Team Number]],CoreValuesResults[Team Number],0))),0, INDEX(CoreValuesResults[Rising All-Star Selection],MATCH(TournamentData[[#This Row],[Team Number]],CoreValuesResults[Team Number],0)))</f>
        <v>0</v>
      </c>
      <c r="Q78" s="50">
        <f>IF(ISNA(INDEX(CoreValuesResults[Motivate Selection],MATCH(TournamentData[[#This Row],[Team Number]],CoreValuesResults[Team Number],0))),0, INDEX(CoreValuesResults[Motivate Selection],MATCH(TournamentData[[#This Row],[Team Number]],CoreValuesResults[Team Number],0)))</f>
        <v>0</v>
      </c>
      <c r="T78" s="46"/>
      <c r="U78" s="40">
        <f>IF(ISNA(INDEX(CoreValuesResults[Core Values Score],MATCH(TournamentData[[#This Row],[Team Number]],CoreValuesResults[Team Number],0))),0,INDEX(CoreValuesResults[Core Values Score],MATCH(TournamentData[[#This Row],[Team Number]],CoreValuesResults[Team Number],0)))</f>
        <v>0</v>
      </c>
      <c r="V7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8" s="40">
        <f>IF(ISNA(INDEX(RobotDesignResults[Robot Design Score],MATCH(TournamentData[[#This Row],[Team Number]],RobotDesignResults[Team Number],0))),0,INDEX(RobotDesignResults[Robot Design Score],MATCH(TournamentData[[#This Row],[Team Number]],RobotDesignResults[Team Number],0)))</f>
        <v>0</v>
      </c>
      <c r="X7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8" s="48">
        <f t="shared" si="2"/>
        <v>0</v>
      </c>
      <c r="AC78" s="72"/>
      <c r="AD78" s="49"/>
      <c r="AE78" s="46"/>
    </row>
    <row r="79" spans="1:31" s="45" customFormat="1" ht="20.25" customHeight="1" x14ac:dyDescent="0.3">
      <c r="A79" s="40"/>
      <c r="B79" s="41" t="str">
        <f>IF(ISNA(INDEX(OfficialTeamList[Team Name],MATCH(TournamentData[[#This Row],[Team Number]], OfficialTeamList[Team Number],0))),"",INDEX(OfficialTeamList[Team Name],MATCH(TournamentData[[#This Row],[Team Number]], OfficialTeamList[Team Number],0)))</f>
        <v/>
      </c>
      <c r="C79" s="42" t="str">
        <f>IF(TournamentData[[#This Row],[Team Number]]="","",IF(ISNA(INDEX('Robot Game Scores'!C:C,MATCH(TournamentData[[#This Row],[Team Number]], 'Robot Game Scores'!$B:$B,0))),0,INDEX('Robot Game Scores'!C:C,MATCH(TournamentData[[#This Row],[Team Number]], 'Robot Game Scores'!$B:$B,0))))</f>
        <v/>
      </c>
      <c r="D79" s="42" t="str">
        <f>IF(TournamentData[[#This Row],[Team Number]]="","",IF(ISNA(INDEX('Robot Game Scores'!D:D,MATCH(TournamentData[[#This Row],[Team Number]], 'Robot Game Scores'!$B:$B,0))),0,INDEX('Robot Game Scores'!D:D,MATCH(TournamentData[[#This Row],[Team Number]], 'Robot Game Scores'!$B:$B,0))))</f>
        <v/>
      </c>
      <c r="E79" s="42" t="str">
        <f>IF(TournamentData[[#This Row],[Team Number]]="","",IF(ISNA(INDEX('Robot Game Scores'!E:E,MATCH(TournamentData[[#This Row],[Team Number]], 'Robot Game Scores'!$B:$B,0))),0,INDEX('Robot Game Scores'!E:E,MATCH(TournamentData[[#This Row],[Team Number]], 'Robot Game Scores'!$B:$B,0))))</f>
        <v/>
      </c>
      <c r="F79" s="42" t="str">
        <f>IF(TournamentData[[#This Row],[Team Number]]="","",IF(ISNA(INDEX('Robot Game Scores'!F:F,MATCH(TournamentData[[#This Row],[Team Number]], 'Robot Game Scores'!$B:$B,0))),0,INDEX('Robot Game Scores'!F:F,MATCH(TournamentData[[#This Row],[Team Number]], 'Robot Game Scores'!$B:$B,0))))</f>
        <v/>
      </c>
      <c r="G79" s="42" t="str">
        <f>IF(TournamentData[[#This Row],[Team Number]]="","",IF(ISNA(INDEX('Robot Game Scores'!G:G,MATCH(TournamentData[[#This Row],[Team Number]], 'Robot Game Scores'!$B:$B,0))),0,INDEX('Robot Game Scores'!G:G,MATCH(TournamentData[[#This Row],[Team Number]], 'Robot Game Scores'!$B:$B,0))))</f>
        <v/>
      </c>
      <c r="H7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9" s="42" t="str">
        <f>IF(TournamentData[[#This Row],[Team Number]]="","",_xlfn.RANK.EQ(TournamentData[[#This Row],[Max Robot Game Score]],TournamentData[Max Robot Game Score]))</f>
        <v/>
      </c>
      <c r="J7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7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9" s="43" t="str">
        <f>IF(TournamentData[[#This Row],[Team Number]]="","",IF(M79,RANK(M79,M$3:M$110,1)-COUNTIF(M$3:M$110,0),NumberOfTeams+1))</f>
        <v/>
      </c>
      <c r="O79" s="50">
        <f>IF(ISNA(INDEX(CoreValuesResults[Breakthrough Selection],MATCH(TournamentData[[#This Row],[Team Number]],CoreValuesResults[Team Number],0))),0, INDEX(CoreValuesResults[Breakthrough Selection],MATCH(TournamentData[[#This Row],[Team Number]],CoreValuesResults[Team Number],0)))</f>
        <v>0</v>
      </c>
      <c r="P79" s="50">
        <f>IF(ISNA(INDEX(CoreValuesResults[Rising All-Star Selection],MATCH(TournamentData[[#This Row],[Team Number]],CoreValuesResults[Team Number],0))),0, INDEX(CoreValuesResults[Rising All-Star Selection],MATCH(TournamentData[[#This Row],[Team Number]],CoreValuesResults[Team Number],0)))</f>
        <v>0</v>
      </c>
      <c r="Q79" s="50">
        <f>IF(ISNA(INDEX(CoreValuesResults[Motivate Selection],MATCH(TournamentData[[#This Row],[Team Number]],CoreValuesResults[Team Number],0))),0, INDEX(CoreValuesResults[Motivate Selection],MATCH(TournamentData[[#This Row],[Team Number]],CoreValuesResults[Team Number],0)))</f>
        <v>0</v>
      </c>
      <c r="T79" s="46"/>
      <c r="U79" s="40">
        <f>IF(ISNA(INDEX(CoreValuesResults[Core Values Score],MATCH(TournamentData[[#This Row],[Team Number]],CoreValuesResults[Team Number],0))),0,INDEX(CoreValuesResults[Core Values Score],MATCH(TournamentData[[#This Row],[Team Number]],CoreValuesResults[Team Number],0)))</f>
        <v>0</v>
      </c>
      <c r="V7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79" s="40">
        <f>IF(ISNA(INDEX(RobotDesignResults[Robot Design Score],MATCH(TournamentData[[#This Row],[Team Number]],RobotDesignResults[Team Number],0))),0,INDEX(RobotDesignResults[Robot Design Score],MATCH(TournamentData[[#This Row],[Team Number]],RobotDesignResults[Team Number],0)))</f>
        <v>0</v>
      </c>
      <c r="X7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79" s="48">
        <f t="shared" si="2"/>
        <v>0</v>
      </c>
      <c r="AC79" s="72"/>
      <c r="AD79" s="49"/>
      <c r="AE79" s="46"/>
    </row>
    <row r="80" spans="1:31" s="45" customFormat="1" ht="20.25" customHeight="1" x14ac:dyDescent="0.3">
      <c r="A80" s="40"/>
      <c r="B80" s="41" t="str">
        <f>IF(ISNA(INDEX(OfficialTeamList[Team Name],MATCH(TournamentData[[#This Row],[Team Number]], OfficialTeamList[Team Number],0))),"",INDEX(OfficialTeamList[Team Name],MATCH(TournamentData[[#This Row],[Team Number]], OfficialTeamList[Team Number],0)))</f>
        <v/>
      </c>
      <c r="C80" s="42" t="str">
        <f>IF(TournamentData[[#This Row],[Team Number]]="","",IF(ISNA(INDEX('Robot Game Scores'!C:C,MATCH(TournamentData[[#This Row],[Team Number]], 'Robot Game Scores'!$B:$B,0))),0,INDEX('Robot Game Scores'!C:C,MATCH(TournamentData[[#This Row],[Team Number]], 'Robot Game Scores'!$B:$B,0))))</f>
        <v/>
      </c>
      <c r="D80" s="42" t="str">
        <f>IF(TournamentData[[#This Row],[Team Number]]="","",IF(ISNA(INDEX('Robot Game Scores'!D:D,MATCH(TournamentData[[#This Row],[Team Number]], 'Robot Game Scores'!$B:$B,0))),0,INDEX('Robot Game Scores'!D:D,MATCH(TournamentData[[#This Row],[Team Number]], 'Robot Game Scores'!$B:$B,0))))</f>
        <v/>
      </c>
      <c r="E80" s="42" t="str">
        <f>IF(TournamentData[[#This Row],[Team Number]]="","",IF(ISNA(INDEX('Robot Game Scores'!E:E,MATCH(TournamentData[[#This Row],[Team Number]], 'Robot Game Scores'!$B:$B,0))),0,INDEX('Robot Game Scores'!E:E,MATCH(TournamentData[[#This Row],[Team Number]], 'Robot Game Scores'!$B:$B,0))))</f>
        <v/>
      </c>
      <c r="F80" s="42" t="str">
        <f>IF(TournamentData[[#This Row],[Team Number]]="","",IF(ISNA(INDEX('Robot Game Scores'!F:F,MATCH(TournamentData[[#This Row],[Team Number]], 'Robot Game Scores'!$B:$B,0))),0,INDEX('Robot Game Scores'!F:F,MATCH(TournamentData[[#This Row],[Team Number]], 'Robot Game Scores'!$B:$B,0))))</f>
        <v/>
      </c>
      <c r="G80" s="42" t="str">
        <f>IF(TournamentData[[#This Row],[Team Number]]="","",IF(ISNA(INDEX('Robot Game Scores'!G:G,MATCH(TournamentData[[#This Row],[Team Number]], 'Robot Game Scores'!$B:$B,0))),0,INDEX('Robot Game Scores'!G:G,MATCH(TournamentData[[#This Row],[Team Number]], 'Robot Game Scores'!$B:$B,0))))</f>
        <v/>
      </c>
      <c r="H8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0" s="42" t="str">
        <f>IF(TournamentData[[#This Row],[Team Number]]="","",_xlfn.RANK.EQ(TournamentData[[#This Row],[Max Robot Game Score]],TournamentData[Max Robot Game Score]))</f>
        <v/>
      </c>
      <c r="J8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0" s="43" t="str">
        <f>IF(TournamentData[[#This Row],[Team Number]]="","",IF(M80,RANK(M80,M$3:M$110,1)-COUNTIF(M$3:M$110,0),NumberOfTeams+1))</f>
        <v/>
      </c>
      <c r="O80" s="50">
        <f>IF(ISNA(INDEX(CoreValuesResults[Breakthrough Selection],MATCH(TournamentData[[#This Row],[Team Number]],CoreValuesResults[Team Number],0))),0, INDEX(CoreValuesResults[Breakthrough Selection],MATCH(TournamentData[[#This Row],[Team Number]],CoreValuesResults[Team Number],0)))</f>
        <v>0</v>
      </c>
      <c r="P80" s="50">
        <f>IF(ISNA(INDEX(CoreValuesResults[Rising All-Star Selection],MATCH(TournamentData[[#This Row],[Team Number]],CoreValuesResults[Team Number],0))),0, INDEX(CoreValuesResults[Rising All-Star Selection],MATCH(TournamentData[[#This Row],[Team Number]],CoreValuesResults[Team Number],0)))</f>
        <v>0</v>
      </c>
      <c r="Q80" s="50">
        <f>IF(ISNA(INDEX(CoreValuesResults[Motivate Selection],MATCH(TournamentData[[#This Row],[Team Number]],CoreValuesResults[Team Number],0))),0, INDEX(CoreValuesResults[Motivate Selection],MATCH(TournamentData[[#This Row],[Team Number]],CoreValuesResults[Team Number],0)))</f>
        <v>0</v>
      </c>
      <c r="T80" s="46"/>
      <c r="U80" s="40">
        <f>IF(ISNA(INDEX(CoreValuesResults[Core Values Score],MATCH(TournamentData[[#This Row],[Team Number]],CoreValuesResults[Team Number],0))),0,INDEX(CoreValuesResults[Core Values Score],MATCH(TournamentData[[#This Row],[Team Number]],CoreValuesResults[Team Number],0)))</f>
        <v>0</v>
      </c>
      <c r="V8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0" s="40">
        <f>IF(ISNA(INDEX(RobotDesignResults[Robot Design Score],MATCH(TournamentData[[#This Row],[Team Number]],RobotDesignResults[Team Number],0))),0,INDEX(RobotDesignResults[Robot Design Score],MATCH(TournamentData[[#This Row],[Team Number]],RobotDesignResults[Team Number],0)))</f>
        <v>0</v>
      </c>
      <c r="X8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0" s="48">
        <f t="shared" si="2"/>
        <v>0</v>
      </c>
      <c r="AC80" s="72"/>
      <c r="AD80" s="49"/>
      <c r="AE80" s="46"/>
    </row>
    <row r="81" spans="1:31" s="45" customFormat="1" ht="20.25" customHeight="1" x14ac:dyDescent="0.3">
      <c r="A81" s="40"/>
      <c r="B81" s="41" t="str">
        <f>IF(ISNA(INDEX(OfficialTeamList[Team Name],MATCH(TournamentData[[#This Row],[Team Number]], OfficialTeamList[Team Number],0))),"",INDEX(OfficialTeamList[Team Name],MATCH(TournamentData[[#This Row],[Team Number]], OfficialTeamList[Team Number],0)))</f>
        <v/>
      </c>
      <c r="C81" s="42" t="str">
        <f>IF(TournamentData[[#This Row],[Team Number]]="","",IF(ISNA(INDEX('Robot Game Scores'!C:C,MATCH(TournamentData[[#This Row],[Team Number]], 'Robot Game Scores'!$B:$B,0))),0,INDEX('Robot Game Scores'!C:C,MATCH(TournamentData[[#This Row],[Team Number]], 'Robot Game Scores'!$B:$B,0))))</f>
        <v/>
      </c>
      <c r="D81" s="42" t="str">
        <f>IF(TournamentData[[#This Row],[Team Number]]="","",IF(ISNA(INDEX('Robot Game Scores'!D:D,MATCH(TournamentData[[#This Row],[Team Number]], 'Robot Game Scores'!$B:$B,0))),0,INDEX('Robot Game Scores'!D:D,MATCH(TournamentData[[#This Row],[Team Number]], 'Robot Game Scores'!$B:$B,0))))</f>
        <v/>
      </c>
      <c r="E81" s="42" t="str">
        <f>IF(TournamentData[[#This Row],[Team Number]]="","",IF(ISNA(INDEX('Robot Game Scores'!E:E,MATCH(TournamentData[[#This Row],[Team Number]], 'Robot Game Scores'!$B:$B,0))),0,INDEX('Robot Game Scores'!E:E,MATCH(TournamentData[[#This Row],[Team Number]], 'Robot Game Scores'!$B:$B,0))))</f>
        <v/>
      </c>
      <c r="F81" s="42" t="str">
        <f>IF(TournamentData[[#This Row],[Team Number]]="","",IF(ISNA(INDEX('Robot Game Scores'!F:F,MATCH(TournamentData[[#This Row],[Team Number]], 'Robot Game Scores'!$B:$B,0))),0,INDEX('Robot Game Scores'!F:F,MATCH(TournamentData[[#This Row],[Team Number]], 'Robot Game Scores'!$B:$B,0))))</f>
        <v/>
      </c>
      <c r="G81" s="42" t="str">
        <f>IF(TournamentData[[#This Row],[Team Number]]="","",IF(ISNA(INDEX('Robot Game Scores'!G:G,MATCH(TournamentData[[#This Row],[Team Number]], 'Robot Game Scores'!$B:$B,0))),0,INDEX('Robot Game Scores'!G:G,MATCH(TournamentData[[#This Row],[Team Number]], 'Robot Game Scores'!$B:$B,0))))</f>
        <v/>
      </c>
      <c r="H8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1" s="42" t="str">
        <f>IF(TournamentData[[#This Row],[Team Number]]="","",_xlfn.RANK.EQ(TournamentData[[#This Row],[Max Robot Game Score]],TournamentData[Max Robot Game Score]))</f>
        <v/>
      </c>
      <c r="J8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1" s="43" t="str">
        <f>IF(TournamentData[[#This Row],[Team Number]]="","",IF(M81,RANK(M81,M$3:M$110,1)-COUNTIF(M$3:M$110,0),NumberOfTeams+1))</f>
        <v/>
      </c>
      <c r="O81" s="50">
        <f>IF(ISNA(INDEX(CoreValuesResults[Breakthrough Selection],MATCH(TournamentData[[#This Row],[Team Number]],CoreValuesResults[Team Number],0))),0, INDEX(CoreValuesResults[Breakthrough Selection],MATCH(TournamentData[[#This Row],[Team Number]],CoreValuesResults[Team Number],0)))</f>
        <v>0</v>
      </c>
      <c r="P81" s="50">
        <f>IF(ISNA(INDEX(CoreValuesResults[Rising All-Star Selection],MATCH(TournamentData[[#This Row],[Team Number]],CoreValuesResults[Team Number],0))),0, INDEX(CoreValuesResults[Rising All-Star Selection],MATCH(TournamentData[[#This Row],[Team Number]],CoreValuesResults[Team Number],0)))</f>
        <v>0</v>
      </c>
      <c r="Q81" s="50">
        <f>IF(ISNA(INDEX(CoreValuesResults[Motivate Selection],MATCH(TournamentData[[#This Row],[Team Number]],CoreValuesResults[Team Number],0))),0, INDEX(CoreValuesResults[Motivate Selection],MATCH(TournamentData[[#This Row],[Team Number]],CoreValuesResults[Team Number],0)))</f>
        <v>0</v>
      </c>
      <c r="T81" s="46"/>
      <c r="U81" s="40">
        <f>IF(ISNA(INDEX(CoreValuesResults[Core Values Score],MATCH(TournamentData[[#This Row],[Team Number]],CoreValuesResults[Team Number],0))),0,INDEX(CoreValuesResults[Core Values Score],MATCH(TournamentData[[#This Row],[Team Number]],CoreValuesResults[Team Number],0)))</f>
        <v>0</v>
      </c>
      <c r="V8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1" s="40">
        <f>IF(ISNA(INDEX(RobotDesignResults[Robot Design Score],MATCH(TournamentData[[#This Row],[Team Number]],RobotDesignResults[Team Number],0))),0,INDEX(RobotDesignResults[Robot Design Score],MATCH(TournamentData[[#This Row],[Team Number]],RobotDesignResults[Team Number],0)))</f>
        <v>0</v>
      </c>
      <c r="X8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1" s="48">
        <f t="shared" si="2"/>
        <v>0</v>
      </c>
      <c r="AC81" s="72"/>
      <c r="AD81" s="49"/>
      <c r="AE81" s="46"/>
    </row>
    <row r="82" spans="1:31" s="45" customFormat="1" ht="20.25" customHeight="1" x14ac:dyDescent="0.3">
      <c r="A82" s="40"/>
      <c r="B82" s="41" t="str">
        <f>IF(ISNA(INDEX(OfficialTeamList[Team Name],MATCH(TournamentData[[#This Row],[Team Number]], OfficialTeamList[Team Number],0))),"",INDEX(OfficialTeamList[Team Name],MATCH(TournamentData[[#This Row],[Team Number]], OfficialTeamList[Team Number],0)))</f>
        <v/>
      </c>
      <c r="C82" s="42" t="str">
        <f>IF(TournamentData[[#This Row],[Team Number]]="","",IF(ISNA(INDEX('Robot Game Scores'!C:C,MATCH(TournamentData[[#This Row],[Team Number]], 'Robot Game Scores'!$B:$B,0))),0,INDEX('Robot Game Scores'!C:C,MATCH(TournamentData[[#This Row],[Team Number]], 'Robot Game Scores'!$B:$B,0))))</f>
        <v/>
      </c>
      <c r="D82" s="42" t="str">
        <f>IF(TournamentData[[#This Row],[Team Number]]="","",IF(ISNA(INDEX('Robot Game Scores'!D:D,MATCH(TournamentData[[#This Row],[Team Number]], 'Robot Game Scores'!$B:$B,0))),0,INDEX('Robot Game Scores'!D:D,MATCH(TournamentData[[#This Row],[Team Number]], 'Robot Game Scores'!$B:$B,0))))</f>
        <v/>
      </c>
      <c r="E82" s="42" t="str">
        <f>IF(TournamentData[[#This Row],[Team Number]]="","",IF(ISNA(INDEX('Robot Game Scores'!E:E,MATCH(TournamentData[[#This Row],[Team Number]], 'Robot Game Scores'!$B:$B,0))),0,INDEX('Robot Game Scores'!E:E,MATCH(TournamentData[[#This Row],[Team Number]], 'Robot Game Scores'!$B:$B,0))))</f>
        <v/>
      </c>
      <c r="F82" s="42" t="str">
        <f>IF(TournamentData[[#This Row],[Team Number]]="","",IF(ISNA(INDEX('Robot Game Scores'!F:F,MATCH(TournamentData[[#This Row],[Team Number]], 'Robot Game Scores'!$B:$B,0))),0,INDEX('Robot Game Scores'!F:F,MATCH(TournamentData[[#This Row],[Team Number]], 'Robot Game Scores'!$B:$B,0))))</f>
        <v/>
      </c>
      <c r="G82" s="42" t="str">
        <f>IF(TournamentData[[#This Row],[Team Number]]="","",IF(ISNA(INDEX('Robot Game Scores'!G:G,MATCH(TournamentData[[#This Row],[Team Number]], 'Robot Game Scores'!$B:$B,0))),0,INDEX('Robot Game Scores'!G:G,MATCH(TournamentData[[#This Row],[Team Number]], 'Robot Game Scores'!$B:$B,0))))</f>
        <v/>
      </c>
      <c r="H8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2" s="42" t="str">
        <f>IF(TournamentData[[#This Row],[Team Number]]="","",_xlfn.RANK.EQ(TournamentData[[#This Row],[Max Robot Game Score]],TournamentData[Max Robot Game Score]))</f>
        <v/>
      </c>
      <c r="J8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2" s="43" t="str">
        <f>IF(TournamentData[[#This Row],[Team Number]]="","",IF(M82,RANK(M82,M$3:M$110,1)-COUNTIF(M$3:M$110,0),NumberOfTeams+1))</f>
        <v/>
      </c>
      <c r="O82" s="50">
        <f>IF(ISNA(INDEX(CoreValuesResults[Breakthrough Selection],MATCH(TournamentData[[#This Row],[Team Number]],CoreValuesResults[Team Number],0))),0, INDEX(CoreValuesResults[Breakthrough Selection],MATCH(TournamentData[[#This Row],[Team Number]],CoreValuesResults[Team Number],0)))</f>
        <v>0</v>
      </c>
      <c r="P82" s="50">
        <f>IF(ISNA(INDEX(CoreValuesResults[Rising All-Star Selection],MATCH(TournamentData[[#This Row],[Team Number]],CoreValuesResults[Team Number],0))),0, INDEX(CoreValuesResults[Rising All-Star Selection],MATCH(TournamentData[[#This Row],[Team Number]],CoreValuesResults[Team Number],0)))</f>
        <v>0</v>
      </c>
      <c r="Q82" s="50">
        <f>IF(ISNA(INDEX(CoreValuesResults[Motivate Selection],MATCH(TournamentData[[#This Row],[Team Number]],CoreValuesResults[Team Number],0))),0, INDEX(CoreValuesResults[Motivate Selection],MATCH(TournamentData[[#This Row],[Team Number]],CoreValuesResults[Team Number],0)))</f>
        <v>0</v>
      </c>
      <c r="T82" s="46"/>
      <c r="U82" s="40">
        <f>IF(ISNA(INDEX(CoreValuesResults[Core Values Score],MATCH(TournamentData[[#This Row],[Team Number]],CoreValuesResults[Team Number],0))),0,INDEX(CoreValuesResults[Core Values Score],MATCH(TournamentData[[#This Row],[Team Number]],CoreValuesResults[Team Number],0)))</f>
        <v>0</v>
      </c>
      <c r="V8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2" s="40">
        <f>IF(ISNA(INDEX(RobotDesignResults[Robot Design Score],MATCH(TournamentData[[#This Row],[Team Number]],RobotDesignResults[Team Number],0))),0,INDEX(RobotDesignResults[Robot Design Score],MATCH(TournamentData[[#This Row],[Team Number]],RobotDesignResults[Team Number],0)))</f>
        <v>0</v>
      </c>
      <c r="X8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2" s="48">
        <f t="shared" si="2"/>
        <v>0</v>
      </c>
      <c r="AC82" s="72"/>
      <c r="AD82" s="49"/>
      <c r="AE82" s="46"/>
    </row>
    <row r="83" spans="1:31" s="45" customFormat="1" ht="20.25" customHeight="1" x14ac:dyDescent="0.3">
      <c r="A83" s="40"/>
      <c r="B83" s="41" t="str">
        <f>IF(ISNA(INDEX(OfficialTeamList[Team Name],MATCH(TournamentData[[#This Row],[Team Number]], OfficialTeamList[Team Number],0))),"",INDEX(OfficialTeamList[Team Name],MATCH(TournamentData[[#This Row],[Team Number]], OfficialTeamList[Team Number],0)))</f>
        <v/>
      </c>
      <c r="C83" s="42" t="str">
        <f>IF(TournamentData[[#This Row],[Team Number]]="","",IF(ISNA(INDEX('Robot Game Scores'!C:C,MATCH(TournamentData[[#This Row],[Team Number]], 'Robot Game Scores'!$B:$B,0))),0,INDEX('Robot Game Scores'!C:C,MATCH(TournamentData[[#This Row],[Team Number]], 'Robot Game Scores'!$B:$B,0))))</f>
        <v/>
      </c>
      <c r="D83" s="42" t="str">
        <f>IF(TournamentData[[#This Row],[Team Number]]="","",IF(ISNA(INDEX('Robot Game Scores'!D:D,MATCH(TournamentData[[#This Row],[Team Number]], 'Robot Game Scores'!$B:$B,0))),0,INDEX('Robot Game Scores'!D:D,MATCH(TournamentData[[#This Row],[Team Number]], 'Robot Game Scores'!$B:$B,0))))</f>
        <v/>
      </c>
      <c r="E83" s="42" t="str">
        <f>IF(TournamentData[[#This Row],[Team Number]]="","",IF(ISNA(INDEX('Robot Game Scores'!E:E,MATCH(TournamentData[[#This Row],[Team Number]], 'Robot Game Scores'!$B:$B,0))),0,INDEX('Robot Game Scores'!E:E,MATCH(TournamentData[[#This Row],[Team Number]], 'Robot Game Scores'!$B:$B,0))))</f>
        <v/>
      </c>
      <c r="F83" s="42" t="str">
        <f>IF(TournamentData[[#This Row],[Team Number]]="","",IF(ISNA(INDEX('Robot Game Scores'!F:F,MATCH(TournamentData[[#This Row],[Team Number]], 'Robot Game Scores'!$B:$B,0))),0,INDEX('Robot Game Scores'!F:F,MATCH(TournamentData[[#This Row],[Team Number]], 'Robot Game Scores'!$B:$B,0))))</f>
        <v/>
      </c>
      <c r="G83" s="42" t="str">
        <f>IF(TournamentData[[#This Row],[Team Number]]="","",IF(ISNA(INDEX('Robot Game Scores'!G:G,MATCH(TournamentData[[#This Row],[Team Number]], 'Robot Game Scores'!$B:$B,0))),0,INDEX('Robot Game Scores'!G:G,MATCH(TournamentData[[#This Row],[Team Number]], 'Robot Game Scores'!$B:$B,0))))</f>
        <v/>
      </c>
      <c r="H8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3" s="42" t="str">
        <f>IF(TournamentData[[#This Row],[Team Number]]="","",_xlfn.RANK.EQ(TournamentData[[#This Row],[Max Robot Game Score]],TournamentData[Max Robot Game Score]))</f>
        <v/>
      </c>
      <c r="J8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3" s="43" t="str">
        <f>IF(TournamentData[[#This Row],[Team Number]]="","",IF(M83,RANK(M83,M$3:M$110,1)-COUNTIF(M$3:M$110,0),NumberOfTeams+1))</f>
        <v/>
      </c>
      <c r="O83" s="50">
        <f>IF(ISNA(INDEX(CoreValuesResults[Breakthrough Selection],MATCH(TournamentData[[#This Row],[Team Number]],CoreValuesResults[Team Number],0))),0, INDEX(CoreValuesResults[Breakthrough Selection],MATCH(TournamentData[[#This Row],[Team Number]],CoreValuesResults[Team Number],0)))</f>
        <v>0</v>
      </c>
      <c r="P83" s="50">
        <f>IF(ISNA(INDEX(CoreValuesResults[Rising All-Star Selection],MATCH(TournamentData[[#This Row],[Team Number]],CoreValuesResults[Team Number],0))),0, INDEX(CoreValuesResults[Rising All-Star Selection],MATCH(TournamentData[[#This Row],[Team Number]],CoreValuesResults[Team Number],0)))</f>
        <v>0</v>
      </c>
      <c r="Q83" s="50">
        <f>IF(ISNA(INDEX(CoreValuesResults[Motivate Selection],MATCH(TournamentData[[#This Row],[Team Number]],CoreValuesResults[Team Number],0))),0, INDEX(CoreValuesResults[Motivate Selection],MATCH(TournamentData[[#This Row],[Team Number]],CoreValuesResults[Team Number],0)))</f>
        <v>0</v>
      </c>
      <c r="T83" s="46"/>
      <c r="U83" s="40">
        <f>IF(ISNA(INDEX(CoreValuesResults[Core Values Score],MATCH(TournamentData[[#This Row],[Team Number]],CoreValuesResults[Team Number],0))),0,INDEX(CoreValuesResults[Core Values Score],MATCH(TournamentData[[#This Row],[Team Number]],CoreValuesResults[Team Number],0)))</f>
        <v>0</v>
      </c>
      <c r="V8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3" s="40">
        <f>IF(ISNA(INDEX(RobotDesignResults[Robot Design Score],MATCH(TournamentData[[#This Row],[Team Number]],RobotDesignResults[Team Number],0))),0,INDEX(RobotDesignResults[Robot Design Score],MATCH(TournamentData[[#This Row],[Team Number]],RobotDesignResults[Team Number],0)))</f>
        <v>0</v>
      </c>
      <c r="X8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3" s="48">
        <f t="shared" si="2"/>
        <v>0</v>
      </c>
      <c r="AC83" s="72"/>
      <c r="AD83" s="49"/>
      <c r="AE83" s="46"/>
    </row>
    <row r="84" spans="1:31" s="45" customFormat="1" ht="20.25" customHeight="1" x14ac:dyDescent="0.3">
      <c r="A84" s="40"/>
      <c r="B84" s="41" t="str">
        <f>IF(ISNA(INDEX(OfficialTeamList[Team Name],MATCH(TournamentData[[#This Row],[Team Number]], OfficialTeamList[Team Number],0))),"",INDEX(OfficialTeamList[Team Name],MATCH(TournamentData[[#This Row],[Team Number]], OfficialTeamList[Team Number],0)))</f>
        <v/>
      </c>
      <c r="C84" s="42" t="str">
        <f>IF(TournamentData[[#This Row],[Team Number]]="","",IF(ISNA(INDEX('Robot Game Scores'!C:C,MATCH(TournamentData[[#This Row],[Team Number]], 'Robot Game Scores'!$B:$B,0))),0,INDEX('Robot Game Scores'!C:C,MATCH(TournamentData[[#This Row],[Team Number]], 'Robot Game Scores'!$B:$B,0))))</f>
        <v/>
      </c>
      <c r="D84" s="42" t="str">
        <f>IF(TournamentData[[#This Row],[Team Number]]="","",IF(ISNA(INDEX('Robot Game Scores'!D:D,MATCH(TournamentData[[#This Row],[Team Number]], 'Robot Game Scores'!$B:$B,0))),0,INDEX('Robot Game Scores'!D:D,MATCH(TournamentData[[#This Row],[Team Number]], 'Robot Game Scores'!$B:$B,0))))</f>
        <v/>
      </c>
      <c r="E84" s="42" t="str">
        <f>IF(TournamentData[[#This Row],[Team Number]]="","",IF(ISNA(INDEX('Robot Game Scores'!E:E,MATCH(TournamentData[[#This Row],[Team Number]], 'Robot Game Scores'!$B:$B,0))),0,INDEX('Robot Game Scores'!E:E,MATCH(TournamentData[[#This Row],[Team Number]], 'Robot Game Scores'!$B:$B,0))))</f>
        <v/>
      </c>
      <c r="F84" s="42" t="str">
        <f>IF(TournamentData[[#This Row],[Team Number]]="","",IF(ISNA(INDEX('Robot Game Scores'!F:F,MATCH(TournamentData[[#This Row],[Team Number]], 'Robot Game Scores'!$B:$B,0))),0,INDEX('Robot Game Scores'!F:F,MATCH(TournamentData[[#This Row],[Team Number]], 'Robot Game Scores'!$B:$B,0))))</f>
        <v/>
      </c>
      <c r="G84" s="42" t="str">
        <f>IF(TournamentData[[#This Row],[Team Number]]="","",IF(ISNA(INDEX('Robot Game Scores'!G:G,MATCH(TournamentData[[#This Row],[Team Number]], 'Robot Game Scores'!$B:$B,0))),0,INDEX('Robot Game Scores'!G:G,MATCH(TournamentData[[#This Row],[Team Number]], 'Robot Game Scores'!$B:$B,0))))</f>
        <v/>
      </c>
      <c r="H8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4" s="42" t="str">
        <f>IF(TournamentData[[#This Row],[Team Number]]="","",_xlfn.RANK.EQ(TournamentData[[#This Row],[Max Robot Game Score]],TournamentData[Max Robot Game Score]))</f>
        <v/>
      </c>
      <c r="J8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4" s="43" t="str">
        <f>IF(TournamentData[[#This Row],[Team Number]]="","",IF(M84,RANK(M84,M$3:M$110,1)-COUNTIF(M$3:M$110,0),NumberOfTeams+1))</f>
        <v/>
      </c>
      <c r="O84" s="50">
        <f>IF(ISNA(INDEX(CoreValuesResults[Breakthrough Selection],MATCH(TournamentData[[#This Row],[Team Number]],CoreValuesResults[Team Number],0))),0, INDEX(CoreValuesResults[Breakthrough Selection],MATCH(TournamentData[[#This Row],[Team Number]],CoreValuesResults[Team Number],0)))</f>
        <v>0</v>
      </c>
      <c r="P84" s="50">
        <f>IF(ISNA(INDEX(CoreValuesResults[Rising All-Star Selection],MATCH(TournamentData[[#This Row],[Team Number]],CoreValuesResults[Team Number],0))),0, INDEX(CoreValuesResults[Rising All-Star Selection],MATCH(TournamentData[[#This Row],[Team Number]],CoreValuesResults[Team Number],0)))</f>
        <v>0</v>
      </c>
      <c r="Q84" s="50">
        <f>IF(ISNA(INDEX(CoreValuesResults[Motivate Selection],MATCH(TournamentData[[#This Row],[Team Number]],CoreValuesResults[Team Number],0))),0, INDEX(CoreValuesResults[Motivate Selection],MATCH(TournamentData[[#This Row],[Team Number]],CoreValuesResults[Team Number],0)))</f>
        <v>0</v>
      </c>
      <c r="T84" s="46"/>
      <c r="U84" s="40">
        <f>IF(ISNA(INDEX(CoreValuesResults[Core Values Score],MATCH(TournamentData[[#This Row],[Team Number]],CoreValuesResults[Team Number],0))),0,INDEX(CoreValuesResults[Core Values Score],MATCH(TournamentData[[#This Row],[Team Number]],CoreValuesResults[Team Number],0)))</f>
        <v>0</v>
      </c>
      <c r="V8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4" s="40">
        <f>IF(ISNA(INDEX(RobotDesignResults[Robot Design Score],MATCH(TournamentData[[#This Row],[Team Number]],RobotDesignResults[Team Number],0))),0,INDEX(RobotDesignResults[Robot Design Score],MATCH(TournamentData[[#This Row],[Team Number]],RobotDesignResults[Team Number],0)))</f>
        <v>0</v>
      </c>
      <c r="X8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4" s="48">
        <f t="shared" si="2"/>
        <v>0</v>
      </c>
      <c r="AC84" s="72"/>
      <c r="AD84" s="49"/>
      <c r="AE84" s="46"/>
    </row>
    <row r="85" spans="1:31" s="45" customFormat="1" ht="20.25" customHeight="1" x14ac:dyDescent="0.3">
      <c r="A85" s="40"/>
      <c r="B85" s="41" t="str">
        <f>IF(ISNA(INDEX(OfficialTeamList[Team Name],MATCH(TournamentData[[#This Row],[Team Number]], OfficialTeamList[Team Number],0))),"",INDEX(OfficialTeamList[Team Name],MATCH(TournamentData[[#This Row],[Team Number]], OfficialTeamList[Team Number],0)))</f>
        <v/>
      </c>
      <c r="C85" s="42" t="str">
        <f>IF(TournamentData[[#This Row],[Team Number]]="","",IF(ISNA(INDEX('Robot Game Scores'!C:C,MATCH(TournamentData[[#This Row],[Team Number]], 'Robot Game Scores'!$B:$B,0))),0,INDEX('Robot Game Scores'!C:C,MATCH(TournamentData[[#This Row],[Team Number]], 'Robot Game Scores'!$B:$B,0))))</f>
        <v/>
      </c>
      <c r="D85" s="42" t="str">
        <f>IF(TournamentData[[#This Row],[Team Number]]="","",IF(ISNA(INDEX('Robot Game Scores'!D:D,MATCH(TournamentData[[#This Row],[Team Number]], 'Robot Game Scores'!$B:$B,0))),0,INDEX('Robot Game Scores'!D:D,MATCH(TournamentData[[#This Row],[Team Number]], 'Robot Game Scores'!$B:$B,0))))</f>
        <v/>
      </c>
      <c r="E85" s="42" t="str">
        <f>IF(TournamentData[[#This Row],[Team Number]]="","",IF(ISNA(INDEX('Robot Game Scores'!E:E,MATCH(TournamentData[[#This Row],[Team Number]], 'Robot Game Scores'!$B:$B,0))),0,INDEX('Robot Game Scores'!E:E,MATCH(TournamentData[[#This Row],[Team Number]], 'Robot Game Scores'!$B:$B,0))))</f>
        <v/>
      </c>
      <c r="F85" s="42" t="str">
        <f>IF(TournamentData[[#This Row],[Team Number]]="","",IF(ISNA(INDEX('Robot Game Scores'!F:F,MATCH(TournamentData[[#This Row],[Team Number]], 'Robot Game Scores'!$B:$B,0))),0,INDEX('Robot Game Scores'!F:F,MATCH(TournamentData[[#This Row],[Team Number]], 'Robot Game Scores'!$B:$B,0))))</f>
        <v/>
      </c>
      <c r="G85" s="42" t="str">
        <f>IF(TournamentData[[#This Row],[Team Number]]="","",IF(ISNA(INDEX('Robot Game Scores'!G:G,MATCH(TournamentData[[#This Row],[Team Number]], 'Robot Game Scores'!$B:$B,0))),0,INDEX('Robot Game Scores'!G:G,MATCH(TournamentData[[#This Row],[Team Number]], 'Robot Game Scores'!$B:$B,0))))</f>
        <v/>
      </c>
      <c r="H8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5" s="42" t="str">
        <f>IF(TournamentData[[#This Row],[Team Number]]="","",_xlfn.RANK.EQ(TournamentData[[#This Row],[Max Robot Game Score]],TournamentData[Max Robot Game Score]))</f>
        <v/>
      </c>
      <c r="J8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5" s="43" t="str">
        <f>IF(TournamentData[[#This Row],[Team Number]]="","",IF(M85,RANK(M85,M$3:M$110,1)-COUNTIF(M$3:M$110,0),NumberOfTeams+1))</f>
        <v/>
      </c>
      <c r="O85" s="50">
        <f>IF(ISNA(INDEX(CoreValuesResults[Breakthrough Selection],MATCH(TournamentData[[#This Row],[Team Number]],CoreValuesResults[Team Number],0))),0, INDEX(CoreValuesResults[Breakthrough Selection],MATCH(TournamentData[[#This Row],[Team Number]],CoreValuesResults[Team Number],0)))</f>
        <v>0</v>
      </c>
      <c r="P85" s="50">
        <f>IF(ISNA(INDEX(CoreValuesResults[Rising All-Star Selection],MATCH(TournamentData[[#This Row],[Team Number]],CoreValuesResults[Team Number],0))),0, INDEX(CoreValuesResults[Rising All-Star Selection],MATCH(TournamentData[[#This Row],[Team Number]],CoreValuesResults[Team Number],0)))</f>
        <v>0</v>
      </c>
      <c r="Q85" s="50">
        <f>IF(ISNA(INDEX(CoreValuesResults[Motivate Selection],MATCH(TournamentData[[#This Row],[Team Number]],CoreValuesResults[Team Number],0))),0, INDEX(CoreValuesResults[Motivate Selection],MATCH(TournamentData[[#This Row],[Team Number]],CoreValuesResults[Team Number],0)))</f>
        <v>0</v>
      </c>
      <c r="T85" s="46"/>
      <c r="U85" s="40">
        <f>IF(ISNA(INDEX(CoreValuesResults[Core Values Score],MATCH(TournamentData[[#This Row],[Team Number]],CoreValuesResults[Team Number],0))),0,INDEX(CoreValuesResults[Core Values Score],MATCH(TournamentData[[#This Row],[Team Number]],CoreValuesResults[Team Number],0)))</f>
        <v>0</v>
      </c>
      <c r="V8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5" s="40">
        <f>IF(ISNA(INDEX(RobotDesignResults[Robot Design Score],MATCH(TournamentData[[#This Row],[Team Number]],RobotDesignResults[Team Number],0))),0,INDEX(RobotDesignResults[Robot Design Score],MATCH(TournamentData[[#This Row],[Team Number]],RobotDesignResults[Team Number],0)))</f>
        <v>0</v>
      </c>
      <c r="X8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5" s="48">
        <f t="shared" si="2"/>
        <v>0</v>
      </c>
      <c r="AC85" s="72"/>
      <c r="AD85" s="49"/>
      <c r="AE85" s="46"/>
    </row>
    <row r="86" spans="1:31" s="45" customFormat="1" ht="20.25" customHeight="1" x14ac:dyDescent="0.3">
      <c r="A86" s="40"/>
      <c r="B86" s="41" t="str">
        <f>IF(ISNA(INDEX(OfficialTeamList[Team Name],MATCH(TournamentData[[#This Row],[Team Number]], OfficialTeamList[Team Number],0))),"",INDEX(OfficialTeamList[Team Name],MATCH(TournamentData[[#This Row],[Team Number]], OfficialTeamList[Team Number],0)))</f>
        <v/>
      </c>
      <c r="C86" s="42" t="str">
        <f>IF(TournamentData[[#This Row],[Team Number]]="","",IF(ISNA(INDEX('Robot Game Scores'!C:C,MATCH(TournamentData[[#This Row],[Team Number]], 'Robot Game Scores'!$B:$B,0))),0,INDEX('Robot Game Scores'!C:C,MATCH(TournamentData[[#This Row],[Team Number]], 'Robot Game Scores'!$B:$B,0))))</f>
        <v/>
      </c>
      <c r="D86" s="42" t="str">
        <f>IF(TournamentData[[#This Row],[Team Number]]="","",IF(ISNA(INDEX('Robot Game Scores'!D:D,MATCH(TournamentData[[#This Row],[Team Number]], 'Robot Game Scores'!$B:$B,0))),0,INDEX('Robot Game Scores'!D:D,MATCH(TournamentData[[#This Row],[Team Number]], 'Robot Game Scores'!$B:$B,0))))</f>
        <v/>
      </c>
      <c r="E86" s="42" t="str">
        <f>IF(TournamentData[[#This Row],[Team Number]]="","",IF(ISNA(INDEX('Robot Game Scores'!E:E,MATCH(TournamentData[[#This Row],[Team Number]], 'Robot Game Scores'!$B:$B,0))),0,INDEX('Robot Game Scores'!E:E,MATCH(TournamentData[[#This Row],[Team Number]], 'Robot Game Scores'!$B:$B,0))))</f>
        <v/>
      </c>
      <c r="F86" s="42" t="str">
        <f>IF(TournamentData[[#This Row],[Team Number]]="","",IF(ISNA(INDEX('Robot Game Scores'!F:F,MATCH(TournamentData[[#This Row],[Team Number]], 'Robot Game Scores'!$B:$B,0))),0,INDEX('Robot Game Scores'!F:F,MATCH(TournamentData[[#This Row],[Team Number]], 'Robot Game Scores'!$B:$B,0))))</f>
        <v/>
      </c>
      <c r="G86" s="42" t="str">
        <f>IF(TournamentData[[#This Row],[Team Number]]="","",IF(ISNA(INDEX('Robot Game Scores'!G:G,MATCH(TournamentData[[#This Row],[Team Number]], 'Robot Game Scores'!$B:$B,0))),0,INDEX('Robot Game Scores'!G:G,MATCH(TournamentData[[#This Row],[Team Number]], 'Robot Game Scores'!$B:$B,0))))</f>
        <v/>
      </c>
      <c r="H8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6" s="42" t="str">
        <f>IF(TournamentData[[#This Row],[Team Number]]="","",_xlfn.RANK.EQ(TournamentData[[#This Row],[Max Robot Game Score]],TournamentData[Max Robot Game Score]))</f>
        <v/>
      </c>
      <c r="J8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6" s="43" t="str">
        <f>IF(TournamentData[[#This Row],[Team Number]]="","",IF(M86,RANK(M86,M$3:M$110,1)-COUNTIF(M$3:M$110,0),NumberOfTeams+1))</f>
        <v/>
      </c>
      <c r="O86" s="50">
        <f>IF(ISNA(INDEX(CoreValuesResults[Breakthrough Selection],MATCH(TournamentData[[#This Row],[Team Number]],CoreValuesResults[Team Number],0))),0, INDEX(CoreValuesResults[Breakthrough Selection],MATCH(TournamentData[[#This Row],[Team Number]],CoreValuesResults[Team Number],0)))</f>
        <v>0</v>
      </c>
      <c r="P86" s="50">
        <f>IF(ISNA(INDEX(CoreValuesResults[Rising All-Star Selection],MATCH(TournamentData[[#This Row],[Team Number]],CoreValuesResults[Team Number],0))),0, INDEX(CoreValuesResults[Rising All-Star Selection],MATCH(TournamentData[[#This Row],[Team Number]],CoreValuesResults[Team Number],0)))</f>
        <v>0</v>
      </c>
      <c r="Q86" s="50">
        <f>IF(ISNA(INDEX(CoreValuesResults[Motivate Selection],MATCH(TournamentData[[#This Row],[Team Number]],CoreValuesResults[Team Number],0))),0, INDEX(CoreValuesResults[Motivate Selection],MATCH(TournamentData[[#This Row],[Team Number]],CoreValuesResults[Team Number],0)))</f>
        <v>0</v>
      </c>
      <c r="T86" s="46"/>
      <c r="U86" s="40">
        <f>IF(ISNA(INDEX(CoreValuesResults[Core Values Score],MATCH(TournamentData[[#This Row],[Team Number]],CoreValuesResults[Team Number],0))),0,INDEX(CoreValuesResults[Core Values Score],MATCH(TournamentData[[#This Row],[Team Number]],CoreValuesResults[Team Number],0)))</f>
        <v>0</v>
      </c>
      <c r="V8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6" s="40">
        <f>IF(ISNA(INDEX(RobotDesignResults[Robot Design Score],MATCH(TournamentData[[#This Row],[Team Number]],RobotDesignResults[Team Number],0))),0,INDEX(RobotDesignResults[Robot Design Score],MATCH(TournamentData[[#This Row],[Team Number]],RobotDesignResults[Team Number],0)))</f>
        <v>0</v>
      </c>
      <c r="X8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6" s="48">
        <f t="shared" si="2"/>
        <v>0</v>
      </c>
      <c r="AC86" s="72"/>
      <c r="AD86" s="49"/>
      <c r="AE86" s="46"/>
    </row>
    <row r="87" spans="1:31" s="45" customFormat="1" ht="20.25" customHeight="1" x14ac:dyDescent="0.3">
      <c r="A87" s="40"/>
      <c r="B87" s="41" t="str">
        <f>IF(ISNA(INDEX(OfficialTeamList[Team Name],MATCH(TournamentData[[#This Row],[Team Number]], OfficialTeamList[Team Number],0))),"",INDEX(OfficialTeamList[Team Name],MATCH(TournamentData[[#This Row],[Team Number]], OfficialTeamList[Team Number],0)))</f>
        <v/>
      </c>
      <c r="C87" s="42" t="str">
        <f>IF(TournamentData[[#This Row],[Team Number]]="","",IF(ISNA(INDEX('Robot Game Scores'!C:C,MATCH(TournamentData[[#This Row],[Team Number]], 'Robot Game Scores'!$B:$B,0))),0,INDEX('Robot Game Scores'!C:C,MATCH(TournamentData[[#This Row],[Team Number]], 'Robot Game Scores'!$B:$B,0))))</f>
        <v/>
      </c>
      <c r="D87" s="42" t="str">
        <f>IF(TournamentData[[#This Row],[Team Number]]="","",IF(ISNA(INDEX('Robot Game Scores'!D:D,MATCH(TournamentData[[#This Row],[Team Number]], 'Robot Game Scores'!$B:$B,0))),0,INDEX('Robot Game Scores'!D:D,MATCH(TournamentData[[#This Row],[Team Number]], 'Robot Game Scores'!$B:$B,0))))</f>
        <v/>
      </c>
      <c r="E87" s="42" t="str">
        <f>IF(TournamentData[[#This Row],[Team Number]]="","",IF(ISNA(INDEX('Robot Game Scores'!E:E,MATCH(TournamentData[[#This Row],[Team Number]], 'Robot Game Scores'!$B:$B,0))),0,INDEX('Robot Game Scores'!E:E,MATCH(TournamentData[[#This Row],[Team Number]], 'Robot Game Scores'!$B:$B,0))))</f>
        <v/>
      </c>
      <c r="F87" s="42" t="str">
        <f>IF(TournamentData[[#This Row],[Team Number]]="","",IF(ISNA(INDEX('Robot Game Scores'!F:F,MATCH(TournamentData[[#This Row],[Team Number]], 'Robot Game Scores'!$B:$B,0))),0,INDEX('Robot Game Scores'!F:F,MATCH(TournamentData[[#This Row],[Team Number]], 'Robot Game Scores'!$B:$B,0))))</f>
        <v/>
      </c>
      <c r="G87" s="42" t="str">
        <f>IF(TournamentData[[#This Row],[Team Number]]="","",IF(ISNA(INDEX('Robot Game Scores'!G:G,MATCH(TournamentData[[#This Row],[Team Number]], 'Robot Game Scores'!$B:$B,0))),0,INDEX('Robot Game Scores'!G:G,MATCH(TournamentData[[#This Row],[Team Number]], 'Robot Game Scores'!$B:$B,0))))</f>
        <v/>
      </c>
      <c r="H8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7" s="42" t="str">
        <f>IF(TournamentData[[#This Row],[Team Number]]="","",_xlfn.RANK.EQ(TournamentData[[#This Row],[Max Robot Game Score]],TournamentData[Max Robot Game Score]))</f>
        <v/>
      </c>
      <c r="J8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7" s="43" t="str">
        <f>IF(TournamentData[[#This Row],[Team Number]]="","",IF(M87,RANK(M87,M$3:M$110,1)-COUNTIF(M$3:M$110,0),NumberOfTeams+1))</f>
        <v/>
      </c>
      <c r="O87" s="50">
        <f>IF(ISNA(INDEX(CoreValuesResults[Breakthrough Selection],MATCH(TournamentData[[#This Row],[Team Number]],CoreValuesResults[Team Number],0))),0, INDEX(CoreValuesResults[Breakthrough Selection],MATCH(TournamentData[[#This Row],[Team Number]],CoreValuesResults[Team Number],0)))</f>
        <v>0</v>
      </c>
      <c r="P87" s="50">
        <f>IF(ISNA(INDEX(CoreValuesResults[Rising All-Star Selection],MATCH(TournamentData[[#This Row],[Team Number]],CoreValuesResults[Team Number],0))),0, INDEX(CoreValuesResults[Rising All-Star Selection],MATCH(TournamentData[[#This Row],[Team Number]],CoreValuesResults[Team Number],0)))</f>
        <v>0</v>
      </c>
      <c r="Q87" s="50">
        <f>IF(ISNA(INDEX(CoreValuesResults[Motivate Selection],MATCH(TournamentData[[#This Row],[Team Number]],CoreValuesResults[Team Number],0))),0, INDEX(CoreValuesResults[Motivate Selection],MATCH(TournamentData[[#This Row],[Team Number]],CoreValuesResults[Team Number],0)))</f>
        <v>0</v>
      </c>
      <c r="T87" s="46"/>
      <c r="U87" s="40">
        <f>IF(ISNA(INDEX(CoreValuesResults[Core Values Score],MATCH(TournamentData[[#This Row],[Team Number]],CoreValuesResults[Team Number],0))),0,INDEX(CoreValuesResults[Core Values Score],MATCH(TournamentData[[#This Row],[Team Number]],CoreValuesResults[Team Number],0)))</f>
        <v>0</v>
      </c>
      <c r="V8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7" s="40">
        <f>IF(ISNA(INDEX(RobotDesignResults[Robot Design Score],MATCH(TournamentData[[#This Row],[Team Number]],RobotDesignResults[Team Number],0))),0,INDEX(RobotDesignResults[Robot Design Score],MATCH(TournamentData[[#This Row],[Team Number]],RobotDesignResults[Team Number],0)))</f>
        <v>0</v>
      </c>
      <c r="X8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7" s="48">
        <f t="shared" si="2"/>
        <v>0</v>
      </c>
      <c r="AC87" s="72"/>
      <c r="AD87" s="49"/>
      <c r="AE87" s="46"/>
    </row>
    <row r="88" spans="1:31" s="45" customFormat="1" ht="20.25" customHeight="1" x14ac:dyDescent="0.3">
      <c r="A88" s="40"/>
      <c r="B88" s="41" t="str">
        <f>IF(ISNA(INDEX(OfficialTeamList[Team Name],MATCH(TournamentData[[#This Row],[Team Number]], OfficialTeamList[Team Number],0))),"",INDEX(OfficialTeamList[Team Name],MATCH(TournamentData[[#This Row],[Team Number]], OfficialTeamList[Team Number],0)))</f>
        <v/>
      </c>
      <c r="C88" s="42" t="str">
        <f>IF(TournamentData[[#This Row],[Team Number]]="","",IF(ISNA(INDEX('Robot Game Scores'!C:C,MATCH(TournamentData[[#This Row],[Team Number]], 'Robot Game Scores'!$B:$B,0))),0,INDEX('Robot Game Scores'!C:C,MATCH(TournamentData[[#This Row],[Team Number]], 'Robot Game Scores'!$B:$B,0))))</f>
        <v/>
      </c>
      <c r="D88" s="42" t="str">
        <f>IF(TournamentData[[#This Row],[Team Number]]="","",IF(ISNA(INDEX('Robot Game Scores'!D:D,MATCH(TournamentData[[#This Row],[Team Number]], 'Robot Game Scores'!$B:$B,0))),0,INDEX('Robot Game Scores'!D:D,MATCH(TournamentData[[#This Row],[Team Number]], 'Robot Game Scores'!$B:$B,0))))</f>
        <v/>
      </c>
      <c r="E88" s="42" t="str">
        <f>IF(TournamentData[[#This Row],[Team Number]]="","",IF(ISNA(INDEX('Robot Game Scores'!E:E,MATCH(TournamentData[[#This Row],[Team Number]], 'Robot Game Scores'!$B:$B,0))),0,INDEX('Robot Game Scores'!E:E,MATCH(TournamentData[[#This Row],[Team Number]], 'Robot Game Scores'!$B:$B,0))))</f>
        <v/>
      </c>
      <c r="F88" s="42" t="str">
        <f>IF(TournamentData[[#This Row],[Team Number]]="","",IF(ISNA(INDEX('Robot Game Scores'!F:F,MATCH(TournamentData[[#This Row],[Team Number]], 'Robot Game Scores'!$B:$B,0))),0,INDEX('Robot Game Scores'!F:F,MATCH(TournamentData[[#This Row],[Team Number]], 'Robot Game Scores'!$B:$B,0))))</f>
        <v/>
      </c>
      <c r="G88" s="42" t="str">
        <f>IF(TournamentData[[#This Row],[Team Number]]="","",IF(ISNA(INDEX('Robot Game Scores'!G:G,MATCH(TournamentData[[#This Row],[Team Number]], 'Robot Game Scores'!$B:$B,0))),0,INDEX('Robot Game Scores'!G:G,MATCH(TournamentData[[#This Row],[Team Number]], 'Robot Game Scores'!$B:$B,0))))</f>
        <v/>
      </c>
      <c r="H8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8" s="42" t="str">
        <f>IF(TournamentData[[#This Row],[Team Number]]="","",_xlfn.RANK.EQ(TournamentData[[#This Row],[Max Robot Game Score]],TournamentData[Max Robot Game Score]))</f>
        <v/>
      </c>
      <c r="J8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8" s="43" t="str">
        <f>IF(TournamentData[[#This Row],[Team Number]]="","",IF(M88,RANK(M88,M$3:M$110,1)-COUNTIF(M$3:M$110,0),NumberOfTeams+1))</f>
        <v/>
      </c>
      <c r="O88" s="50">
        <f>IF(ISNA(INDEX(CoreValuesResults[Breakthrough Selection],MATCH(TournamentData[[#This Row],[Team Number]],CoreValuesResults[Team Number],0))),0, INDEX(CoreValuesResults[Breakthrough Selection],MATCH(TournamentData[[#This Row],[Team Number]],CoreValuesResults[Team Number],0)))</f>
        <v>0</v>
      </c>
      <c r="P88" s="50">
        <f>IF(ISNA(INDEX(CoreValuesResults[Rising All-Star Selection],MATCH(TournamentData[[#This Row],[Team Number]],CoreValuesResults[Team Number],0))),0, INDEX(CoreValuesResults[Rising All-Star Selection],MATCH(TournamentData[[#This Row],[Team Number]],CoreValuesResults[Team Number],0)))</f>
        <v>0</v>
      </c>
      <c r="Q88" s="50">
        <f>IF(ISNA(INDEX(CoreValuesResults[Motivate Selection],MATCH(TournamentData[[#This Row],[Team Number]],CoreValuesResults[Team Number],0))),0, INDEX(CoreValuesResults[Motivate Selection],MATCH(TournamentData[[#This Row],[Team Number]],CoreValuesResults[Team Number],0)))</f>
        <v>0</v>
      </c>
      <c r="T88" s="46"/>
      <c r="U88" s="40">
        <f>IF(ISNA(INDEX(CoreValuesResults[Core Values Score],MATCH(TournamentData[[#This Row],[Team Number]],CoreValuesResults[Team Number],0))),0,INDEX(CoreValuesResults[Core Values Score],MATCH(TournamentData[[#This Row],[Team Number]],CoreValuesResults[Team Number],0)))</f>
        <v>0</v>
      </c>
      <c r="V8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8" s="40">
        <f>IF(ISNA(INDEX(RobotDesignResults[Robot Design Score],MATCH(TournamentData[[#This Row],[Team Number]],RobotDesignResults[Team Number],0))),0,INDEX(RobotDesignResults[Robot Design Score],MATCH(TournamentData[[#This Row],[Team Number]],RobotDesignResults[Team Number],0)))</f>
        <v>0</v>
      </c>
      <c r="X8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8" s="48">
        <f t="shared" si="2"/>
        <v>0</v>
      </c>
      <c r="AC88" s="72"/>
      <c r="AD88" s="49"/>
      <c r="AE88" s="46"/>
    </row>
    <row r="89" spans="1:31" s="45" customFormat="1" ht="20.25" customHeight="1" x14ac:dyDescent="0.3">
      <c r="A89" s="40"/>
      <c r="B89" s="41" t="str">
        <f>IF(ISNA(INDEX(OfficialTeamList[Team Name],MATCH(TournamentData[[#This Row],[Team Number]], OfficialTeamList[Team Number],0))),"",INDEX(OfficialTeamList[Team Name],MATCH(TournamentData[[#This Row],[Team Number]], OfficialTeamList[Team Number],0)))</f>
        <v/>
      </c>
      <c r="C89" s="42" t="str">
        <f>IF(TournamentData[[#This Row],[Team Number]]="","",IF(ISNA(INDEX('Robot Game Scores'!C:C,MATCH(TournamentData[[#This Row],[Team Number]], 'Robot Game Scores'!$B:$B,0))),0,INDEX('Robot Game Scores'!C:C,MATCH(TournamentData[[#This Row],[Team Number]], 'Robot Game Scores'!$B:$B,0))))</f>
        <v/>
      </c>
      <c r="D89" s="42" t="str">
        <f>IF(TournamentData[[#This Row],[Team Number]]="","",IF(ISNA(INDEX('Robot Game Scores'!D:D,MATCH(TournamentData[[#This Row],[Team Number]], 'Robot Game Scores'!$B:$B,0))),0,INDEX('Robot Game Scores'!D:D,MATCH(TournamentData[[#This Row],[Team Number]], 'Robot Game Scores'!$B:$B,0))))</f>
        <v/>
      </c>
      <c r="E89" s="42" t="str">
        <f>IF(TournamentData[[#This Row],[Team Number]]="","",IF(ISNA(INDEX('Robot Game Scores'!E:E,MATCH(TournamentData[[#This Row],[Team Number]], 'Robot Game Scores'!$B:$B,0))),0,INDEX('Robot Game Scores'!E:E,MATCH(TournamentData[[#This Row],[Team Number]], 'Robot Game Scores'!$B:$B,0))))</f>
        <v/>
      </c>
      <c r="F89" s="42" t="str">
        <f>IF(TournamentData[[#This Row],[Team Number]]="","",IF(ISNA(INDEX('Robot Game Scores'!F:F,MATCH(TournamentData[[#This Row],[Team Number]], 'Robot Game Scores'!$B:$B,0))),0,INDEX('Robot Game Scores'!F:F,MATCH(TournamentData[[#This Row],[Team Number]], 'Robot Game Scores'!$B:$B,0))))</f>
        <v/>
      </c>
      <c r="G89" s="42" t="str">
        <f>IF(TournamentData[[#This Row],[Team Number]]="","",IF(ISNA(INDEX('Robot Game Scores'!G:G,MATCH(TournamentData[[#This Row],[Team Number]], 'Robot Game Scores'!$B:$B,0))),0,INDEX('Robot Game Scores'!G:G,MATCH(TournamentData[[#This Row],[Team Number]], 'Robot Game Scores'!$B:$B,0))))</f>
        <v/>
      </c>
      <c r="H8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9" s="42" t="str">
        <f>IF(TournamentData[[#This Row],[Team Number]]="","",_xlfn.RANK.EQ(TournamentData[[#This Row],[Max Robot Game Score]],TournamentData[Max Robot Game Score]))</f>
        <v/>
      </c>
      <c r="J8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8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9" s="43" t="str">
        <f>IF(TournamentData[[#This Row],[Team Number]]="","",IF(M89,RANK(M89,M$3:M$110,1)-COUNTIF(M$3:M$110,0),NumberOfTeams+1))</f>
        <v/>
      </c>
      <c r="O89" s="50">
        <f>IF(ISNA(INDEX(CoreValuesResults[Breakthrough Selection],MATCH(TournamentData[[#This Row],[Team Number]],CoreValuesResults[Team Number],0))),0, INDEX(CoreValuesResults[Breakthrough Selection],MATCH(TournamentData[[#This Row],[Team Number]],CoreValuesResults[Team Number],0)))</f>
        <v>0</v>
      </c>
      <c r="P89" s="50">
        <f>IF(ISNA(INDEX(CoreValuesResults[Rising All-Star Selection],MATCH(TournamentData[[#This Row],[Team Number]],CoreValuesResults[Team Number],0))),0, INDEX(CoreValuesResults[Rising All-Star Selection],MATCH(TournamentData[[#This Row],[Team Number]],CoreValuesResults[Team Number],0)))</f>
        <v>0</v>
      </c>
      <c r="Q89" s="50">
        <f>IF(ISNA(INDEX(CoreValuesResults[Motivate Selection],MATCH(TournamentData[[#This Row],[Team Number]],CoreValuesResults[Team Number],0))),0, INDEX(CoreValuesResults[Motivate Selection],MATCH(TournamentData[[#This Row],[Team Number]],CoreValuesResults[Team Number],0)))</f>
        <v>0</v>
      </c>
      <c r="T89" s="46"/>
      <c r="U89" s="40">
        <f>IF(ISNA(INDEX(CoreValuesResults[Core Values Score],MATCH(TournamentData[[#This Row],[Team Number]],CoreValuesResults[Team Number],0))),0,INDEX(CoreValuesResults[Core Values Score],MATCH(TournamentData[[#This Row],[Team Number]],CoreValuesResults[Team Number],0)))</f>
        <v>0</v>
      </c>
      <c r="V8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89" s="40">
        <f>IF(ISNA(INDEX(RobotDesignResults[Robot Design Score],MATCH(TournamentData[[#This Row],[Team Number]],RobotDesignResults[Team Number],0))),0,INDEX(RobotDesignResults[Robot Design Score],MATCH(TournamentData[[#This Row],[Team Number]],RobotDesignResults[Team Number],0)))</f>
        <v>0</v>
      </c>
      <c r="X8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89" s="48">
        <f t="shared" si="2"/>
        <v>0</v>
      </c>
      <c r="AC89" s="72"/>
      <c r="AD89" s="49"/>
      <c r="AE89" s="46"/>
    </row>
    <row r="90" spans="1:31" s="45" customFormat="1" ht="20.25" customHeight="1" x14ac:dyDescent="0.3">
      <c r="A90" s="40"/>
      <c r="B90" s="41" t="str">
        <f>IF(ISNA(INDEX(OfficialTeamList[Team Name],MATCH(TournamentData[[#This Row],[Team Number]], OfficialTeamList[Team Number],0))),"",INDEX(OfficialTeamList[Team Name],MATCH(TournamentData[[#This Row],[Team Number]], OfficialTeamList[Team Number],0)))</f>
        <v/>
      </c>
      <c r="C90" s="42" t="str">
        <f>IF(TournamentData[[#This Row],[Team Number]]="","",IF(ISNA(INDEX('Robot Game Scores'!C:C,MATCH(TournamentData[[#This Row],[Team Number]], 'Robot Game Scores'!$B:$B,0))),0,INDEX('Robot Game Scores'!C:C,MATCH(TournamentData[[#This Row],[Team Number]], 'Robot Game Scores'!$B:$B,0))))</f>
        <v/>
      </c>
      <c r="D90" s="42" t="str">
        <f>IF(TournamentData[[#This Row],[Team Number]]="","",IF(ISNA(INDEX('Robot Game Scores'!D:D,MATCH(TournamentData[[#This Row],[Team Number]], 'Robot Game Scores'!$B:$B,0))),0,INDEX('Robot Game Scores'!D:D,MATCH(TournamentData[[#This Row],[Team Number]], 'Robot Game Scores'!$B:$B,0))))</f>
        <v/>
      </c>
      <c r="E90" s="42" t="str">
        <f>IF(TournamentData[[#This Row],[Team Number]]="","",IF(ISNA(INDEX('Robot Game Scores'!E:E,MATCH(TournamentData[[#This Row],[Team Number]], 'Robot Game Scores'!$B:$B,0))),0,INDEX('Robot Game Scores'!E:E,MATCH(TournamentData[[#This Row],[Team Number]], 'Robot Game Scores'!$B:$B,0))))</f>
        <v/>
      </c>
      <c r="F90" s="42" t="str">
        <f>IF(TournamentData[[#This Row],[Team Number]]="","",IF(ISNA(INDEX('Robot Game Scores'!F:F,MATCH(TournamentData[[#This Row],[Team Number]], 'Robot Game Scores'!$B:$B,0))),0,INDEX('Robot Game Scores'!F:F,MATCH(TournamentData[[#This Row],[Team Number]], 'Robot Game Scores'!$B:$B,0))))</f>
        <v/>
      </c>
      <c r="G90" s="42" t="str">
        <f>IF(TournamentData[[#This Row],[Team Number]]="","",IF(ISNA(INDEX('Robot Game Scores'!G:G,MATCH(TournamentData[[#This Row],[Team Number]], 'Robot Game Scores'!$B:$B,0))),0,INDEX('Robot Game Scores'!G:G,MATCH(TournamentData[[#This Row],[Team Number]], 'Robot Game Scores'!$B:$B,0))))</f>
        <v/>
      </c>
      <c r="H9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0" s="42" t="str">
        <f>IF(TournamentData[[#This Row],[Team Number]]="","",_xlfn.RANK.EQ(TournamentData[[#This Row],[Max Robot Game Score]],TournamentData[Max Robot Game Score]))</f>
        <v/>
      </c>
      <c r="J9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0" s="43" t="str">
        <f>IF(TournamentData[[#This Row],[Team Number]]="","",IF(M90,RANK(M90,M$3:M$110,1)-COUNTIF(M$3:M$110,0),NumberOfTeams+1))</f>
        <v/>
      </c>
      <c r="O90" s="50">
        <f>IF(ISNA(INDEX(CoreValuesResults[Breakthrough Selection],MATCH(TournamentData[[#This Row],[Team Number]],CoreValuesResults[Team Number],0))),0, INDEX(CoreValuesResults[Breakthrough Selection],MATCH(TournamentData[[#This Row],[Team Number]],CoreValuesResults[Team Number],0)))</f>
        <v>0</v>
      </c>
      <c r="P90" s="50">
        <f>IF(ISNA(INDEX(CoreValuesResults[Rising All-Star Selection],MATCH(TournamentData[[#This Row],[Team Number]],CoreValuesResults[Team Number],0))),0, INDEX(CoreValuesResults[Rising All-Star Selection],MATCH(TournamentData[[#This Row],[Team Number]],CoreValuesResults[Team Number],0)))</f>
        <v>0</v>
      </c>
      <c r="Q90" s="50">
        <f>IF(ISNA(INDEX(CoreValuesResults[Motivate Selection],MATCH(TournamentData[[#This Row],[Team Number]],CoreValuesResults[Team Number],0))),0, INDEX(CoreValuesResults[Motivate Selection],MATCH(TournamentData[[#This Row],[Team Number]],CoreValuesResults[Team Number],0)))</f>
        <v>0</v>
      </c>
      <c r="T90" s="46"/>
      <c r="U90" s="40">
        <f>IF(ISNA(INDEX(CoreValuesResults[Core Values Score],MATCH(TournamentData[[#This Row],[Team Number]],CoreValuesResults[Team Number],0))),0,INDEX(CoreValuesResults[Core Values Score],MATCH(TournamentData[[#This Row],[Team Number]],CoreValuesResults[Team Number],0)))</f>
        <v>0</v>
      </c>
      <c r="V9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0" s="40">
        <f>IF(ISNA(INDEX(RobotDesignResults[Robot Design Score],MATCH(TournamentData[[#This Row],[Team Number]],RobotDesignResults[Team Number],0))),0,INDEX(RobotDesignResults[Robot Design Score],MATCH(TournamentData[[#This Row],[Team Number]],RobotDesignResults[Team Number],0)))</f>
        <v>0</v>
      </c>
      <c r="X9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0" s="48">
        <f t="shared" si="2"/>
        <v>0</v>
      </c>
      <c r="AC90" s="72"/>
      <c r="AD90" s="49"/>
      <c r="AE90" s="46"/>
    </row>
    <row r="91" spans="1:31" s="45" customFormat="1" ht="20.25" customHeight="1" x14ac:dyDescent="0.3">
      <c r="A91" s="40"/>
      <c r="B91" s="41" t="str">
        <f>IF(ISNA(INDEX(OfficialTeamList[Team Name],MATCH(TournamentData[[#This Row],[Team Number]], OfficialTeamList[Team Number],0))),"",INDEX(OfficialTeamList[Team Name],MATCH(TournamentData[[#This Row],[Team Number]], OfficialTeamList[Team Number],0)))</f>
        <v/>
      </c>
      <c r="C91" s="42" t="str">
        <f>IF(TournamentData[[#This Row],[Team Number]]="","",IF(ISNA(INDEX('Robot Game Scores'!C:C,MATCH(TournamentData[[#This Row],[Team Number]], 'Robot Game Scores'!$B:$B,0))),0,INDEX('Robot Game Scores'!C:C,MATCH(TournamentData[[#This Row],[Team Number]], 'Robot Game Scores'!$B:$B,0))))</f>
        <v/>
      </c>
      <c r="D91" s="42" t="str">
        <f>IF(TournamentData[[#This Row],[Team Number]]="","",IF(ISNA(INDEX('Robot Game Scores'!D:D,MATCH(TournamentData[[#This Row],[Team Number]], 'Robot Game Scores'!$B:$B,0))),0,INDEX('Robot Game Scores'!D:D,MATCH(TournamentData[[#This Row],[Team Number]], 'Robot Game Scores'!$B:$B,0))))</f>
        <v/>
      </c>
      <c r="E91" s="42" t="str">
        <f>IF(TournamentData[[#This Row],[Team Number]]="","",IF(ISNA(INDEX('Robot Game Scores'!E:E,MATCH(TournamentData[[#This Row],[Team Number]], 'Robot Game Scores'!$B:$B,0))),0,INDEX('Robot Game Scores'!E:E,MATCH(TournamentData[[#This Row],[Team Number]], 'Robot Game Scores'!$B:$B,0))))</f>
        <v/>
      </c>
      <c r="F91" s="42" t="str">
        <f>IF(TournamentData[[#This Row],[Team Number]]="","",IF(ISNA(INDEX('Robot Game Scores'!F:F,MATCH(TournamentData[[#This Row],[Team Number]], 'Robot Game Scores'!$B:$B,0))),0,INDEX('Robot Game Scores'!F:F,MATCH(TournamentData[[#This Row],[Team Number]], 'Robot Game Scores'!$B:$B,0))))</f>
        <v/>
      </c>
      <c r="G91" s="42" t="str">
        <f>IF(TournamentData[[#This Row],[Team Number]]="","",IF(ISNA(INDEX('Robot Game Scores'!G:G,MATCH(TournamentData[[#This Row],[Team Number]], 'Robot Game Scores'!$B:$B,0))),0,INDEX('Robot Game Scores'!G:G,MATCH(TournamentData[[#This Row],[Team Number]], 'Robot Game Scores'!$B:$B,0))))</f>
        <v/>
      </c>
      <c r="H9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1" s="42" t="str">
        <f>IF(TournamentData[[#This Row],[Team Number]]="","",_xlfn.RANK.EQ(TournamentData[[#This Row],[Max Robot Game Score]],TournamentData[Max Robot Game Score]))</f>
        <v/>
      </c>
      <c r="J9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1" s="43" t="str">
        <f>IF(TournamentData[[#This Row],[Team Number]]="","",IF(M91,RANK(M91,M$3:M$110,1)-COUNTIF(M$3:M$110,0),NumberOfTeams+1))</f>
        <v/>
      </c>
      <c r="O91" s="50">
        <f>IF(ISNA(INDEX(CoreValuesResults[Breakthrough Selection],MATCH(TournamentData[[#This Row],[Team Number]],CoreValuesResults[Team Number],0))),0, INDEX(CoreValuesResults[Breakthrough Selection],MATCH(TournamentData[[#This Row],[Team Number]],CoreValuesResults[Team Number],0)))</f>
        <v>0</v>
      </c>
      <c r="P91" s="50">
        <f>IF(ISNA(INDEX(CoreValuesResults[Rising All-Star Selection],MATCH(TournamentData[[#This Row],[Team Number]],CoreValuesResults[Team Number],0))),0, INDEX(CoreValuesResults[Rising All-Star Selection],MATCH(TournamentData[[#This Row],[Team Number]],CoreValuesResults[Team Number],0)))</f>
        <v>0</v>
      </c>
      <c r="Q91" s="50">
        <f>IF(ISNA(INDEX(CoreValuesResults[Motivate Selection],MATCH(TournamentData[[#This Row],[Team Number]],CoreValuesResults[Team Number],0))),0, INDEX(CoreValuesResults[Motivate Selection],MATCH(TournamentData[[#This Row],[Team Number]],CoreValuesResults[Team Number],0)))</f>
        <v>0</v>
      </c>
      <c r="T91" s="46"/>
      <c r="U91" s="40">
        <f>IF(ISNA(INDEX(CoreValuesResults[Core Values Score],MATCH(TournamentData[[#This Row],[Team Number]],CoreValuesResults[Team Number],0))),0,INDEX(CoreValuesResults[Core Values Score],MATCH(TournamentData[[#This Row],[Team Number]],CoreValuesResults[Team Number],0)))</f>
        <v>0</v>
      </c>
      <c r="V9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1" s="40">
        <f>IF(ISNA(INDEX(RobotDesignResults[Robot Design Score],MATCH(TournamentData[[#This Row],[Team Number]],RobotDesignResults[Team Number],0))),0,INDEX(RobotDesignResults[Robot Design Score],MATCH(TournamentData[[#This Row],[Team Number]],RobotDesignResults[Team Number],0)))</f>
        <v>0</v>
      </c>
      <c r="X9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1" s="48">
        <f t="shared" si="2"/>
        <v>0</v>
      </c>
      <c r="AC91" s="72"/>
      <c r="AD91" s="49"/>
      <c r="AE91" s="46"/>
    </row>
    <row r="92" spans="1:31" s="45" customFormat="1" ht="20.25" customHeight="1" x14ac:dyDescent="0.3">
      <c r="A92" s="40"/>
      <c r="B92" s="41" t="str">
        <f>IF(ISNA(INDEX(OfficialTeamList[Team Name],MATCH(TournamentData[[#This Row],[Team Number]], OfficialTeamList[Team Number],0))),"",INDEX(OfficialTeamList[Team Name],MATCH(TournamentData[[#This Row],[Team Number]], OfficialTeamList[Team Number],0)))</f>
        <v/>
      </c>
      <c r="C92" s="42" t="str">
        <f>IF(TournamentData[[#This Row],[Team Number]]="","",IF(ISNA(INDEX('Robot Game Scores'!C:C,MATCH(TournamentData[[#This Row],[Team Number]], 'Robot Game Scores'!$B:$B,0))),0,INDEX('Robot Game Scores'!C:C,MATCH(TournamentData[[#This Row],[Team Number]], 'Robot Game Scores'!$B:$B,0))))</f>
        <v/>
      </c>
      <c r="D92" s="42" t="str">
        <f>IF(TournamentData[[#This Row],[Team Number]]="","",IF(ISNA(INDEX('Robot Game Scores'!D:D,MATCH(TournamentData[[#This Row],[Team Number]], 'Robot Game Scores'!$B:$B,0))),0,INDEX('Robot Game Scores'!D:D,MATCH(TournamentData[[#This Row],[Team Number]], 'Robot Game Scores'!$B:$B,0))))</f>
        <v/>
      </c>
      <c r="E92" s="42" t="str">
        <f>IF(TournamentData[[#This Row],[Team Number]]="","",IF(ISNA(INDEX('Robot Game Scores'!E:E,MATCH(TournamentData[[#This Row],[Team Number]], 'Robot Game Scores'!$B:$B,0))),0,INDEX('Robot Game Scores'!E:E,MATCH(TournamentData[[#This Row],[Team Number]], 'Robot Game Scores'!$B:$B,0))))</f>
        <v/>
      </c>
      <c r="F92" s="42" t="str">
        <f>IF(TournamentData[[#This Row],[Team Number]]="","",IF(ISNA(INDEX('Robot Game Scores'!F:F,MATCH(TournamentData[[#This Row],[Team Number]], 'Robot Game Scores'!$B:$B,0))),0,INDEX('Robot Game Scores'!F:F,MATCH(TournamentData[[#This Row],[Team Number]], 'Robot Game Scores'!$B:$B,0))))</f>
        <v/>
      </c>
      <c r="G92" s="42" t="str">
        <f>IF(TournamentData[[#This Row],[Team Number]]="","",IF(ISNA(INDEX('Robot Game Scores'!G:G,MATCH(TournamentData[[#This Row],[Team Number]], 'Robot Game Scores'!$B:$B,0))),0,INDEX('Robot Game Scores'!G:G,MATCH(TournamentData[[#This Row],[Team Number]], 'Robot Game Scores'!$B:$B,0))))</f>
        <v/>
      </c>
      <c r="H9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2" s="42" t="str">
        <f>IF(TournamentData[[#This Row],[Team Number]]="","",_xlfn.RANK.EQ(TournamentData[[#This Row],[Max Robot Game Score]],TournamentData[Max Robot Game Score]))</f>
        <v/>
      </c>
      <c r="J9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2" s="43" t="str">
        <f>IF(TournamentData[[#This Row],[Team Number]]="","",IF(M92,RANK(M92,M$3:M$110,1)-COUNTIF(M$3:M$110,0),NumberOfTeams+1))</f>
        <v/>
      </c>
      <c r="O92" s="50">
        <f>IF(ISNA(INDEX(CoreValuesResults[Breakthrough Selection],MATCH(TournamentData[[#This Row],[Team Number]],CoreValuesResults[Team Number],0))),0, INDEX(CoreValuesResults[Breakthrough Selection],MATCH(TournamentData[[#This Row],[Team Number]],CoreValuesResults[Team Number],0)))</f>
        <v>0</v>
      </c>
      <c r="P92" s="50">
        <f>IF(ISNA(INDEX(CoreValuesResults[Rising All-Star Selection],MATCH(TournamentData[[#This Row],[Team Number]],CoreValuesResults[Team Number],0))),0, INDEX(CoreValuesResults[Rising All-Star Selection],MATCH(TournamentData[[#This Row],[Team Number]],CoreValuesResults[Team Number],0)))</f>
        <v>0</v>
      </c>
      <c r="Q92" s="50">
        <f>IF(ISNA(INDEX(CoreValuesResults[Motivate Selection],MATCH(TournamentData[[#This Row],[Team Number]],CoreValuesResults[Team Number],0))),0, INDEX(CoreValuesResults[Motivate Selection],MATCH(TournamentData[[#This Row],[Team Number]],CoreValuesResults[Team Number],0)))</f>
        <v>0</v>
      </c>
      <c r="T92" s="46"/>
      <c r="U92" s="40">
        <f>IF(ISNA(INDEX(CoreValuesResults[Core Values Score],MATCH(TournamentData[[#This Row],[Team Number]],CoreValuesResults[Team Number],0))),0,INDEX(CoreValuesResults[Core Values Score],MATCH(TournamentData[[#This Row],[Team Number]],CoreValuesResults[Team Number],0)))</f>
        <v>0</v>
      </c>
      <c r="V9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2" s="40">
        <f>IF(ISNA(INDEX(RobotDesignResults[Robot Design Score],MATCH(TournamentData[[#This Row],[Team Number]],RobotDesignResults[Team Number],0))),0,INDEX(RobotDesignResults[Robot Design Score],MATCH(TournamentData[[#This Row],[Team Number]],RobotDesignResults[Team Number],0)))</f>
        <v>0</v>
      </c>
      <c r="X9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2" s="48">
        <f t="shared" si="2"/>
        <v>0</v>
      </c>
      <c r="AC92" s="72"/>
      <c r="AD92" s="49"/>
      <c r="AE92" s="46"/>
    </row>
    <row r="93" spans="1:31" s="45" customFormat="1" ht="20.25" customHeight="1" x14ac:dyDescent="0.3">
      <c r="A93" s="40"/>
      <c r="B93" s="41" t="str">
        <f>IF(ISNA(INDEX(OfficialTeamList[Team Name],MATCH(TournamentData[[#This Row],[Team Number]], OfficialTeamList[Team Number],0))),"",INDEX(OfficialTeamList[Team Name],MATCH(TournamentData[[#This Row],[Team Number]], OfficialTeamList[Team Number],0)))</f>
        <v/>
      </c>
      <c r="C93" s="42" t="str">
        <f>IF(TournamentData[[#This Row],[Team Number]]="","",IF(ISNA(INDEX('Robot Game Scores'!C:C,MATCH(TournamentData[[#This Row],[Team Number]], 'Robot Game Scores'!$B:$B,0))),0,INDEX('Robot Game Scores'!C:C,MATCH(TournamentData[[#This Row],[Team Number]], 'Robot Game Scores'!$B:$B,0))))</f>
        <v/>
      </c>
      <c r="D93" s="42" t="str">
        <f>IF(TournamentData[[#This Row],[Team Number]]="","",IF(ISNA(INDEX('Robot Game Scores'!D:D,MATCH(TournamentData[[#This Row],[Team Number]], 'Robot Game Scores'!$B:$B,0))),0,INDEX('Robot Game Scores'!D:D,MATCH(TournamentData[[#This Row],[Team Number]], 'Robot Game Scores'!$B:$B,0))))</f>
        <v/>
      </c>
      <c r="E93" s="42" t="str">
        <f>IF(TournamentData[[#This Row],[Team Number]]="","",IF(ISNA(INDEX('Robot Game Scores'!E:E,MATCH(TournamentData[[#This Row],[Team Number]], 'Robot Game Scores'!$B:$B,0))),0,INDEX('Robot Game Scores'!E:E,MATCH(TournamentData[[#This Row],[Team Number]], 'Robot Game Scores'!$B:$B,0))))</f>
        <v/>
      </c>
      <c r="F93" s="42" t="str">
        <f>IF(TournamentData[[#This Row],[Team Number]]="","",IF(ISNA(INDEX('Robot Game Scores'!F:F,MATCH(TournamentData[[#This Row],[Team Number]], 'Robot Game Scores'!$B:$B,0))),0,INDEX('Robot Game Scores'!F:F,MATCH(TournamentData[[#This Row],[Team Number]], 'Robot Game Scores'!$B:$B,0))))</f>
        <v/>
      </c>
      <c r="G93" s="42" t="str">
        <f>IF(TournamentData[[#This Row],[Team Number]]="","",IF(ISNA(INDEX('Robot Game Scores'!G:G,MATCH(TournamentData[[#This Row],[Team Number]], 'Robot Game Scores'!$B:$B,0))),0,INDEX('Robot Game Scores'!G:G,MATCH(TournamentData[[#This Row],[Team Number]], 'Robot Game Scores'!$B:$B,0))))</f>
        <v/>
      </c>
      <c r="H9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3" s="42" t="str">
        <f>IF(TournamentData[[#This Row],[Team Number]]="","",_xlfn.RANK.EQ(TournamentData[[#This Row],[Max Robot Game Score]],TournamentData[Max Robot Game Score]))</f>
        <v/>
      </c>
      <c r="J9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3" s="43" t="str">
        <f>IF(TournamentData[[#This Row],[Team Number]]="","",IF(M93,RANK(M93,M$3:M$110,1)-COUNTIF(M$3:M$110,0),NumberOfTeams+1))</f>
        <v/>
      </c>
      <c r="O93" s="50">
        <f>IF(ISNA(INDEX(CoreValuesResults[Breakthrough Selection],MATCH(TournamentData[[#This Row],[Team Number]],CoreValuesResults[Team Number],0))),0, INDEX(CoreValuesResults[Breakthrough Selection],MATCH(TournamentData[[#This Row],[Team Number]],CoreValuesResults[Team Number],0)))</f>
        <v>0</v>
      </c>
      <c r="P93" s="50">
        <f>IF(ISNA(INDEX(CoreValuesResults[Rising All-Star Selection],MATCH(TournamentData[[#This Row],[Team Number]],CoreValuesResults[Team Number],0))),0, INDEX(CoreValuesResults[Rising All-Star Selection],MATCH(TournamentData[[#This Row],[Team Number]],CoreValuesResults[Team Number],0)))</f>
        <v>0</v>
      </c>
      <c r="Q93" s="50">
        <f>IF(ISNA(INDEX(CoreValuesResults[Motivate Selection],MATCH(TournamentData[[#This Row],[Team Number]],CoreValuesResults[Team Number],0))),0, INDEX(CoreValuesResults[Motivate Selection],MATCH(TournamentData[[#This Row],[Team Number]],CoreValuesResults[Team Number],0)))</f>
        <v>0</v>
      </c>
      <c r="T93" s="46"/>
      <c r="U93" s="40">
        <f>IF(ISNA(INDEX(CoreValuesResults[Core Values Score],MATCH(TournamentData[[#This Row],[Team Number]],CoreValuesResults[Team Number],0))),0,INDEX(CoreValuesResults[Core Values Score],MATCH(TournamentData[[#This Row],[Team Number]],CoreValuesResults[Team Number],0)))</f>
        <v>0</v>
      </c>
      <c r="V9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3" s="40">
        <f>IF(ISNA(INDEX(RobotDesignResults[Robot Design Score],MATCH(TournamentData[[#This Row],[Team Number]],RobotDesignResults[Team Number],0))),0,INDEX(RobotDesignResults[Robot Design Score],MATCH(TournamentData[[#This Row],[Team Number]],RobotDesignResults[Team Number],0)))</f>
        <v>0</v>
      </c>
      <c r="X9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3" s="48">
        <f t="shared" si="2"/>
        <v>0</v>
      </c>
      <c r="AC93" s="72"/>
      <c r="AD93" s="49"/>
      <c r="AE93" s="46"/>
    </row>
    <row r="94" spans="1:31" s="45" customFormat="1" ht="20.25" customHeight="1" x14ac:dyDescent="0.3">
      <c r="A94" s="40"/>
      <c r="B94" s="41" t="str">
        <f>IF(ISNA(INDEX(OfficialTeamList[Team Name],MATCH(TournamentData[[#This Row],[Team Number]], OfficialTeamList[Team Number],0))),"",INDEX(OfficialTeamList[Team Name],MATCH(TournamentData[[#This Row],[Team Number]], OfficialTeamList[Team Number],0)))</f>
        <v/>
      </c>
      <c r="C94" s="42" t="str">
        <f>IF(TournamentData[[#This Row],[Team Number]]="","",IF(ISNA(INDEX('Robot Game Scores'!C:C,MATCH(TournamentData[[#This Row],[Team Number]], 'Robot Game Scores'!$B:$B,0))),0,INDEX('Robot Game Scores'!C:C,MATCH(TournamentData[[#This Row],[Team Number]], 'Robot Game Scores'!$B:$B,0))))</f>
        <v/>
      </c>
      <c r="D94" s="42" t="str">
        <f>IF(TournamentData[[#This Row],[Team Number]]="","",IF(ISNA(INDEX('Robot Game Scores'!D:D,MATCH(TournamentData[[#This Row],[Team Number]], 'Robot Game Scores'!$B:$B,0))),0,INDEX('Robot Game Scores'!D:D,MATCH(TournamentData[[#This Row],[Team Number]], 'Robot Game Scores'!$B:$B,0))))</f>
        <v/>
      </c>
      <c r="E94" s="42" t="str">
        <f>IF(TournamentData[[#This Row],[Team Number]]="","",IF(ISNA(INDEX('Robot Game Scores'!E:E,MATCH(TournamentData[[#This Row],[Team Number]], 'Robot Game Scores'!$B:$B,0))),0,INDEX('Robot Game Scores'!E:E,MATCH(TournamentData[[#This Row],[Team Number]], 'Robot Game Scores'!$B:$B,0))))</f>
        <v/>
      </c>
      <c r="F94" s="42" t="str">
        <f>IF(TournamentData[[#This Row],[Team Number]]="","",IF(ISNA(INDEX('Robot Game Scores'!F:F,MATCH(TournamentData[[#This Row],[Team Number]], 'Robot Game Scores'!$B:$B,0))),0,INDEX('Robot Game Scores'!F:F,MATCH(TournamentData[[#This Row],[Team Number]], 'Robot Game Scores'!$B:$B,0))))</f>
        <v/>
      </c>
      <c r="G94" s="42" t="str">
        <f>IF(TournamentData[[#This Row],[Team Number]]="","",IF(ISNA(INDEX('Robot Game Scores'!G:G,MATCH(TournamentData[[#This Row],[Team Number]], 'Robot Game Scores'!$B:$B,0))),0,INDEX('Robot Game Scores'!G:G,MATCH(TournamentData[[#This Row],[Team Number]], 'Robot Game Scores'!$B:$B,0))))</f>
        <v/>
      </c>
      <c r="H9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4" s="42" t="str">
        <f>IF(TournamentData[[#This Row],[Team Number]]="","",_xlfn.RANK.EQ(TournamentData[[#This Row],[Max Robot Game Score]],TournamentData[Max Robot Game Score]))</f>
        <v/>
      </c>
      <c r="J9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4" s="43" t="str">
        <f>IF(TournamentData[[#This Row],[Team Number]]="","",IF(M94,RANK(M94,M$3:M$110,1)-COUNTIF(M$3:M$110,0),NumberOfTeams+1))</f>
        <v/>
      </c>
      <c r="O94" s="50">
        <f>IF(ISNA(INDEX(CoreValuesResults[Breakthrough Selection],MATCH(TournamentData[[#This Row],[Team Number]],CoreValuesResults[Team Number],0))),0, INDEX(CoreValuesResults[Breakthrough Selection],MATCH(TournamentData[[#This Row],[Team Number]],CoreValuesResults[Team Number],0)))</f>
        <v>0</v>
      </c>
      <c r="P94" s="50">
        <f>IF(ISNA(INDEX(CoreValuesResults[Rising All-Star Selection],MATCH(TournamentData[[#This Row],[Team Number]],CoreValuesResults[Team Number],0))),0, INDEX(CoreValuesResults[Rising All-Star Selection],MATCH(TournamentData[[#This Row],[Team Number]],CoreValuesResults[Team Number],0)))</f>
        <v>0</v>
      </c>
      <c r="Q94" s="50">
        <f>IF(ISNA(INDEX(CoreValuesResults[Motivate Selection],MATCH(TournamentData[[#This Row],[Team Number]],CoreValuesResults[Team Number],0))),0, INDEX(CoreValuesResults[Motivate Selection],MATCH(TournamentData[[#This Row],[Team Number]],CoreValuesResults[Team Number],0)))</f>
        <v>0</v>
      </c>
      <c r="T94" s="46"/>
      <c r="U94" s="40">
        <f>IF(ISNA(INDEX(CoreValuesResults[Core Values Score],MATCH(TournamentData[[#This Row],[Team Number]],CoreValuesResults[Team Number],0))),0,INDEX(CoreValuesResults[Core Values Score],MATCH(TournamentData[[#This Row],[Team Number]],CoreValuesResults[Team Number],0)))</f>
        <v>0</v>
      </c>
      <c r="V9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4" s="40">
        <f>IF(ISNA(INDEX(RobotDesignResults[Robot Design Score],MATCH(TournamentData[[#This Row],[Team Number]],RobotDesignResults[Team Number],0))),0,INDEX(RobotDesignResults[Robot Design Score],MATCH(TournamentData[[#This Row],[Team Number]],RobotDesignResults[Team Number],0)))</f>
        <v>0</v>
      </c>
      <c r="X9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4" s="48">
        <f t="shared" si="2"/>
        <v>0</v>
      </c>
      <c r="AC94" s="72"/>
      <c r="AD94" s="49"/>
      <c r="AE94" s="46"/>
    </row>
    <row r="95" spans="1:31" s="45" customFormat="1" ht="20.25" customHeight="1" x14ac:dyDescent="0.3">
      <c r="A95" s="40"/>
      <c r="B95" s="41" t="str">
        <f>IF(ISNA(INDEX(OfficialTeamList[Team Name],MATCH(TournamentData[[#This Row],[Team Number]], OfficialTeamList[Team Number],0))),"",INDEX(OfficialTeamList[Team Name],MATCH(TournamentData[[#This Row],[Team Number]], OfficialTeamList[Team Number],0)))</f>
        <v/>
      </c>
      <c r="C95" s="42" t="str">
        <f>IF(TournamentData[[#This Row],[Team Number]]="","",IF(ISNA(INDEX('Robot Game Scores'!C:C,MATCH(TournamentData[[#This Row],[Team Number]], 'Robot Game Scores'!$B:$B,0))),0,INDEX('Robot Game Scores'!C:C,MATCH(TournamentData[[#This Row],[Team Number]], 'Robot Game Scores'!$B:$B,0))))</f>
        <v/>
      </c>
      <c r="D95" s="42" t="str">
        <f>IF(TournamentData[[#This Row],[Team Number]]="","",IF(ISNA(INDEX('Robot Game Scores'!D:D,MATCH(TournamentData[[#This Row],[Team Number]], 'Robot Game Scores'!$B:$B,0))),0,INDEX('Robot Game Scores'!D:D,MATCH(TournamentData[[#This Row],[Team Number]], 'Robot Game Scores'!$B:$B,0))))</f>
        <v/>
      </c>
      <c r="E95" s="42" t="str">
        <f>IF(TournamentData[[#This Row],[Team Number]]="","",IF(ISNA(INDEX('Robot Game Scores'!E:E,MATCH(TournamentData[[#This Row],[Team Number]], 'Robot Game Scores'!$B:$B,0))),0,INDEX('Robot Game Scores'!E:E,MATCH(TournamentData[[#This Row],[Team Number]], 'Robot Game Scores'!$B:$B,0))))</f>
        <v/>
      </c>
      <c r="F95" s="42" t="str">
        <f>IF(TournamentData[[#This Row],[Team Number]]="","",IF(ISNA(INDEX('Robot Game Scores'!F:F,MATCH(TournamentData[[#This Row],[Team Number]], 'Robot Game Scores'!$B:$B,0))),0,INDEX('Robot Game Scores'!F:F,MATCH(TournamentData[[#This Row],[Team Number]], 'Robot Game Scores'!$B:$B,0))))</f>
        <v/>
      </c>
      <c r="G95" s="42" t="str">
        <f>IF(TournamentData[[#This Row],[Team Number]]="","",IF(ISNA(INDEX('Robot Game Scores'!G:G,MATCH(TournamentData[[#This Row],[Team Number]], 'Robot Game Scores'!$B:$B,0))),0,INDEX('Robot Game Scores'!G:G,MATCH(TournamentData[[#This Row],[Team Number]], 'Robot Game Scores'!$B:$B,0))))</f>
        <v/>
      </c>
      <c r="H9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5" s="42" t="str">
        <f>IF(TournamentData[[#This Row],[Team Number]]="","",_xlfn.RANK.EQ(TournamentData[[#This Row],[Max Robot Game Score]],TournamentData[Max Robot Game Score]))</f>
        <v/>
      </c>
      <c r="J9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5" s="43" t="str">
        <f>IF(TournamentData[[#This Row],[Team Number]]="","",IF(M95,RANK(M95,M$3:M$110,1)-COUNTIF(M$3:M$110,0),NumberOfTeams+1))</f>
        <v/>
      </c>
      <c r="O95" s="50">
        <f>IF(ISNA(INDEX(CoreValuesResults[Breakthrough Selection],MATCH(TournamentData[[#This Row],[Team Number]],CoreValuesResults[Team Number],0))),0, INDEX(CoreValuesResults[Breakthrough Selection],MATCH(TournamentData[[#This Row],[Team Number]],CoreValuesResults[Team Number],0)))</f>
        <v>0</v>
      </c>
      <c r="P95" s="50">
        <f>IF(ISNA(INDEX(CoreValuesResults[Rising All-Star Selection],MATCH(TournamentData[[#This Row],[Team Number]],CoreValuesResults[Team Number],0))),0, INDEX(CoreValuesResults[Rising All-Star Selection],MATCH(TournamentData[[#This Row],[Team Number]],CoreValuesResults[Team Number],0)))</f>
        <v>0</v>
      </c>
      <c r="Q95" s="50">
        <f>IF(ISNA(INDEX(CoreValuesResults[Motivate Selection],MATCH(TournamentData[[#This Row],[Team Number]],CoreValuesResults[Team Number],0))),0, INDEX(CoreValuesResults[Motivate Selection],MATCH(TournamentData[[#This Row],[Team Number]],CoreValuesResults[Team Number],0)))</f>
        <v>0</v>
      </c>
      <c r="T95" s="46"/>
      <c r="U95" s="40">
        <f>IF(ISNA(INDEX(CoreValuesResults[Core Values Score],MATCH(TournamentData[[#This Row],[Team Number]],CoreValuesResults[Team Number],0))),0,INDEX(CoreValuesResults[Core Values Score],MATCH(TournamentData[[#This Row],[Team Number]],CoreValuesResults[Team Number],0)))</f>
        <v>0</v>
      </c>
      <c r="V9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5" s="40">
        <f>IF(ISNA(INDEX(RobotDesignResults[Robot Design Score],MATCH(TournamentData[[#This Row],[Team Number]],RobotDesignResults[Team Number],0))),0,INDEX(RobotDesignResults[Robot Design Score],MATCH(TournamentData[[#This Row],[Team Number]],RobotDesignResults[Team Number],0)))</f>
        <v>0</v>
      </c>
      <c r="X9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5" s="48">
        <f t="shared" si="2"/>
        <v>0</v>
      </c>
      <c r="AC95" s="72"/>
      <c r="AD95" s="49"/>
      <c r="AE95" s="46"/>
    </row>
    <row r="96" spans="1:31" s="45" customFormat="1" ht="20.25" customHeight="1" x14ac:dyDescent="0.3">
      <c r="A96" s="40"/>
      <c r="B96" s="41" t="str">
        <f>IF(ISNA(INDEX(OfficialTeamList[Team Name],MATCH(TournamentData[[#This Row],[Team Number]], OfficialTeamList[Team Number],0))),"",INDEX(OfficialTeamList[Team Name],MATCH(TournamentData[[#This Row],[Team Number]], OfficialTeamList[Team Number],0)))</f>
        <v/>
      </c>
      <c r="C96" s="42" t="str">
        <f>IF(TournamentData[[#This Row],[Team Number]]="","",IF(ISNA(INDEX('Robot Game Scores'!C:C,MATCH(TournamentData[[#This Row],[Team Number]], 'Robot Game Scores'!$B:$B,0))),0,INDEX('Robot Game Scores'!C:C,MATCH(TournamentData[[#This Row],[Team Number]], 'Robot Game Scores'!$B:$B,0))))</f>
        <v/>
      </c>
      <c r="D96" s="42" t="str">
        <f>IF(TournamentData[[#This Row],[Team Number]]="","",IF(ISNA(INDEX('Robot Game Scores'!D:D,MATCH(TournamentData[[#This Row],[Team Number]], 'Robot Game Scores'!$B:$B,0))),0,INDEX('Robot Game Scores'!D:D,MATCH(TournamentData[[#This Row],[Team Number]], 'Robot Game Scores'!$B:$B,0))))</f>
        <v/>
      </c>
      <c r="E96" s="42" t="str">
        <f>IF(TournamentData[[#This Row],[Team Number]]="","",IF(ISNA(INDEX('Robot Game Scores'!E:E,MATCH(TournamentData[[#This Row],[Team Number]], 'Robot Game Scores'!$B:$B,0))),0,INDEX('Robot Game Scores'!E:E,MATCH(TournamentData[[#This Row],[Team Number]], 'Robot Game Scores'!$B:$B,0))))</f>
        <v/>
      </c>
      <c r="F96" s="42" t="str">
        <f>IF(TournamentData[[#This Row],[Team Number]]="","",IF(ISNA(INDEX('Robot Game Scores'!F:F,MATCH(TournamentData[[#This Row],[Team Number]], 'Robot Game Scores'!$B:$B,0))),0,INDEX('Robot Game Scores'!F:F,MATCH(TournamentData[[#This Row],[Team Number]], 'Robot Game Scores'!$B:$B,0))))</f>
        <v/>
      </c>
      <c r="G96" s="42" t="str">
        <f>IF(TournamentData[[#This Row],[Team Number]]="","",IF(ISNA(INDEX('Robot Game Scores'!G:G,MATCH(TournamentData[[#This Row],[Team Number]], 'Robot Game Scores'!$B:$B,0))),0,INDEX('Robot Game Scores'!G:G,MATCH(TournamentData[[#This Row],[Team Number]], 'Robot Game Scores'!$B:$B,0))))</f>
        <v/>
      </c>
      <c r="H9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6" s="42" t="str">
        <f>IF(TournamentData[[#This Row],[Team Number]]="","",_xlfn.RANK.EQ(TournamentData[[#This Row],[Max Robot Game Score]],TournamentData[Max Robot Game Score]))</f>
        <v/>
      </c>
      <c r="J9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6" s="43" t="str">
        <f>IF(TournamentData[[#This Row],[Team Number]]="","",IF(M96,RANK(M96,M$3:M$110,1)-COUNTIF(M$3:M$110,0),NumberOfTeams+1))</f>
        <v/>
      </c>
      <c r="O96" s="50">
        <f>IF(ISNA(INDEX(CoreValuesResults[Breakthrough Selection],MATCH(TournamentData[[#This Row],[Team Number]],CoreValuesResults[Team Number],0))),0, INDEX(CoreValuesResults[Breakthrough Selection],MATCH(TournamentData[[#This Row],[Team Number]],CoreValuesResults[Team Number],0)))</f>
        <v>0</v>
      </c>
      <c r="P96" s="50">
        <f>IF(ISNA(INDEX(CoreValuesResults[Rising All-Star Selection],MATCH(TournamentData[[#This Row],[Team Number]],CoreValuesResults[Team Number],0))),0, INDEX(CoreValuesResults[Rising All-Star Selection],MATCH(TournamentData[[#This Row],[Team Number]],CoreValuesResults[Team Number],0)))</f>
        <v>0</v>
      </c>
      <c r="Q96" s="50">
        <f>IF(ISNA(INDEX(CoreValuesResults[Motivate Selection],MATCH(TournamentData[[#This Row],[Team Number]],CoreValuesResults[Team Number],0))),0, INDEX(CoreValuesResults[Motivate Selection],MATCH(TournamentData[[#This Row],[Team Number]],CoreValuesResults[Team Number],0)))</f>
        <v>0</v>
      </c>
      <c r="T96" s="46"/>
      <c r="U96" s="40">
        <f>IF(ISNA(INDEX(CoreValuesResults[Core Values Score],MATCH(TournamentData[[#This Row],[Team Number]],CoreValuesResults[Team Number],0))),0,INDEX(CoreValuesResults[Core Values Score],MATCH(TournamentData[[#This Row],[Team Number]],CoreValuesResults[Team Number],0)))</f>
        <v>0</v>
      </c>
      <c r="V9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6" s="40">
        <f>IF(ISNA(INDEX(RobotDesignResults[Robot Design Score],MATCH(TournamentData[[#This Row],[Team Number]],RobotDesignResults[Team Number],0))),0,INDEX(RobotDesignResults[Robot Design Score],MATCH(TournamentData[[#This Row],[Team Number]],RobotDesignResults[Team Number],0)))</f>
        <v>0</v>
      </c>
      <c r="X9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6" s="48">
        <f t="shared" si="2"/>
        <v>0</v>
      </c>
      <c r="AC96" s="72"/>
      <c r="AD96" s="49"/>
      <c r="AE96" s="46"/>
    </row>
    <row r="97" spans="1:34" s="45" customFormat="1" ht="20.25" customHeight="1" x14ac:dyDescent="0.3">
      <c r="A97" s="40"/>
      <c r="B97" s="41" t="str">
        <f>IF(ISNA(INDEX(OfficialTeamList[Team Name],MATCH(TournamentData[[#This Row],[Team Number]], OfficialTeamList[Team Number],0))),"",INDEX(OfficialTeamList[Team Name],MATCH(TournamentData[[#This Row],[Team Number]], OfficialTeamList[Team Number],0)))</f>
        <v/>
      </c>
      <c r="C97" s="42" t="str">
        <f>IF(TournamentData[[#This Row],[Team Number]]="","",IF(ISNA(INDEX('Robot Game Scores'!C:C,MATCH(TournamentData[[#This Row],[Team Number]], 'Robot Game Scores'!$B:$B,0))),0,INDEX('Robot Game Scores'!C:C,MATCH(TournamentData[[#This Row],[Team Number]], 'Robot Game Scores'!$B:$B,0))))</f>
        <v/>
      </c>
      <c r="D97" s="42" t="str">
        <f>IF(TournamentData[[#This Row],[Team Number]]="","",IF(ISNA(INDEX('Robot Game Scores'!D:D,MATCH(TournamentData[[#This Row],[Team Number]], 'Robot Game Scores'!$B:$B,0))),0,INDEX('Robot Game Scores'!D:D,MATCH(TournamentData[[#This Row],[Team Number]], 'Robot Game Scores'!$B:$B,0))))</f>
        <v/>
      </c>
      <c r="E97" s="42" t="str">
        <f>IF(TournamentData[[#This Row],[Team Number]]="","",IF(ISNA(INDEX('Robot Game Scores'!E:E,MATCH(TournamentData[[#This Row],[Team Number]], 'Robot Game Scores'!$B:$B,0))),0,INDEX('Robot Game Scores'!E:E,MATCH(TournamentData[[#This Row],[Team Number]], 'Robot Game Scores'!$B:$B,0))))</f>
        <v/>
      </c>
      <c r="F97" s="42" t="str">
        <f>IF(TournamentData[[#This Row],[Team Number]]="","",IF(ISNA(INDEX('Robot Game Scores'!F:F,MATCH(TournamentData[[#This Row],[Team Number]], 'Robot Game Scores'!$B:$B,0))),0,INDEX('Robot Game Scores'!F:F,MATCH(TournamentData[[#This Row],[Team Number]], 'Robot Game Scores'!$B:$B,0))))</f>
        <v/>
      </c>
      <c r="G97" s="42" t="str">
        <f>IF(TournamentData[[#This Row],[Team Number]]="","",IF(ISNA(INDEX('Robot Game Scores'!G:G,MATCH(TournamentData[[#This Row],[Team Number]], 'Robot Game Scores'!$B:$B,0))),0,INDEX('Robot Game Scores'!G:G,MATCH(TournamentData[[#This Row],[Team Number]], 'Robot Game Scores'!$B:$B,0))))</f>
        <v/>
      </c>
      <c r="H9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7" s="42" t="str">
        <f>IF(TournamentData[[#This Row],[Team Number]]="","",_xlfn.RANK.EQ(TournamentData[[#This Row],[Max Robot Game Score]],TournamentData[Max Robot Game Score]))</f>
        <v/>
      </c>
      <c r="J9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7" s="43" t="str">
        <f>IF(TournamentData[[#This Row],[Team Number]]="","",IF(M97,RANK(M97,M$3:M$110,1)-COUNTIF(M$3:M$110,0),NumberOfTeams+1))</f>
        <v/>
      </c>
      <c r="O97" s="50">
        <f>IF(ISNA(INDEX(CoreValuesResults[Breakthrough Selection],MATCH(TournamentData[[#This Row],[Team Number]],CoreValuesResults[Team Number],0))),0, INDEX(CoreValuesResults[Breakthrough Selection],MATCH(TournamentData[[#This Row],[Team Number]],CoreValuesResults[Team Number],0)))</f>
        <v>0</v>
      </c>
      <c r="P97" s="50">
        <f>IF(ISNA(INDEX(CoreValuesResults[Rising All-Star Selection],MATCH(TournamentData[[#This Row],[Team Number]],CoreValuesResults[Team Number],0))),0, INDEX(CoreValuesResults[Rising All-Star Selection],MATCH(TournamentData[[#This Row],[Team Number]],CoreValuesResults[Team Number],0)))</f>
        <v>0</v>
      </c>
      <c r="Q97" s="50">
        <f>IF(ISNA(INDEX(CoreValuesResults[Motivate Selection],MATCH(TournamentData[[#This Row],[Team Number]],CoreValuesResults[Team Number],0))),0, INDEX(CoreValuesResults[Motivate Selection],MATCH(TournamentData[[#This Row],[Team Number]],CoreValuesResults[Team Number],0)))</f>
        <v>0</v>
      </c>
      <c r="T97" s="46"/>
      <c r="U97" s="40">
        <f>IF(ISNA(INDEX(CoreValuesResults[Core Values Score],MATCH(TournamentData[[#This Row],[Team Number]],CoreValuesResults[Team Number],0))),0,INDEX(CoreValuesResults[Core Values Score],MATCH(TournamentData[[#This Row],[Team Number]],CoreValuesResults[Team Number],0)))</f>
        <v>0</v>
      </c>
      <c r="V9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7" s="40">
        <f>IF(ISNA(INDEX(RobotDesignResults[Robot Design Score],MATCH(TournamentData[[#This Row],[Team Number]],RobotDesignResults[Team Number],0))),0,INDEX(RobotDesignResults[Robot Design Score],MATCH(TournamentData[[#This Row],[Team Number]],RobotDesignResults[Team Number],0)))</f>
        <v>0</v>
      </c>
      <c r="X9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7" s="48">
        <f t="shared" si="2"/>
        <v>0</v>
      </c>
      <c r="AC97" s="72"/>
      <c r="AD97" s="49"/>
      <c r="AE97" s="46"/>
    </row>
    <row r="98" spans="1:34" s="45" customFormat="1" ht="20.25" customHeight="1" x14ac:dyDescent="0.3">
      <c r="A98" s="40"/>
      <c r="B98" s="41" t="str">
        <f>IF(ISNA(INDEX(OfficialTeamList[Team Name],MATCH(TournamentData[[#This Row],[Team Number]], OfficialTeamList[Team Number],0))),"",INDEX(OfficialTeamList[Team Name],MATCH(TournamentData[[#This Row],[Team Number]], OfficialTeamList[Team Number],0)))</f>
        <v/>
      </c>
      <c r="C98" s="42" t="str">
        <f>IF(TournamentData[[#This Row],[Team Number]]="","",IF(ISNA(INDEX('Robot Game Scores'!C:C,MATCH(TournamentData[[#This Row],[Team Number]], 'Robot Game Scores'!$B:$B,0))),0,INDEX('Robot Game Scores'!C:C,MATCH(TournamentData[[#This Row],[Team Number]], 'Robot Game Scores'!$B:$B,0))))</f>
        <v/>
      </c>
      <c r="D98" s="42" t="str">
        <f>IF(TournamentData[[#This Row],[Team Number]]="","",IF(ISNA(INDEX('Robot Game Scores'!D:D,MATCH(TournamentData[[#This Row],[Team Number]], 'Robot Game Scores'!$B:$B,0))),0,INDEX('Robot Game Scores'!D:D,MATCH(TournamentData[[#This Row],[Team Number]], 'Robot Game Scores'!$B:$B,0))))</f>
        <v/>
      </c>
      <c r="E98" s="42" t="str">
        <f>IF(TournamentData[[#This Row],[Team Number]]="","",IF(ISNA(INDEX('Robot Game Scores'!E:E,MATCH(TournamentData[[#This Row],[Team Number]], 'Robot Game Scores'!$B:$B,0))),0,INDEX('Robot Game Scores'!E:E,MATCH(TournamentData[[#This Row],[Team Number]], 'Robot Game Scores'!$B:$B,0))))</f>
        <v/>
      </c>
      <c r="F98" s="42" t="str">
        <f>IF(TournamentData[[#This Row],[Team Number]]="","",IF(ISNA(INDEX('Robot Game Scores'!F:F,MATCH(TournamentData[[#This Row],[Team Number]], 'Robot Game Scores'!$B:$B,0))),0,INDEX('Robot Game Scores'!F:F,MATCH(TournamentData[[#This Row],[Team Number]], 'Robot Game Scores'!$B:$B,0))))</f>
        <v/>
      </c>
      <c r="G98" s="42" t="str">
        <f>IF(TournamentData[[#This Row],[Team Number]]="","",IF(ISNA(INDEX('Robot Game Scores'!G:G,MATCH(TournamentData[[#This Row],[Team Number]], 'Robot Game Scores'!$B:$B,0))),0,INDEX('Robot Game Scores'!G:G,MATCH(TournamentData[[#This Row],[Team Number]], 'Robot Game Scores'!$B:$B,0))))</f>
        <v/>
      </c>
      <c r="H9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8" s="42" t="str">
        <f>IF(TournamentData[[#This Row],[Team Number]]="","",_xlfn.RANK.EQ(TournamentData[[#This Row],[Max Robot Game Score]],TournamentData[Max Robot Game Score]))</f>
        <v/>
      </c>
      <c r="J9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8" s="43" t="str">
        <f>IF(TournamentData[[#This Row],[Team Number]]="","",IF(M98,RANK(M98,M$3:M$110,1)-COUNTIF(M$3:M$110,0),NumberOfTeams+1))</f>
        <v/>
      </c>
      <c r="O98" s="50">
        <f>IF(ISNA(INDEX(CoreValuesResults[Breakthrough Selection],MATCH(TournamentData[[#This Row],[Team Number]],CoreValuesResults[Team Number],0))),0, INDEX(CoreValuesResults[Breakthrough Selection],MATCH(TournamentData[[#This Row],[Team Number]],CoreValuesResults[Team Number],0)))</f>
        <v>0</v>
      </c>
      <c r="P98" s="50">
        <f>IF(ISNA(INDEX(CoreValuesResults[Rising All-Star Selection],MATCH(TournamentData[[#This Row],[Team Number]],CoreValuesResults[Team Number],0))),0, INDEX(CoreValuesResults[Rising All-Star Selection],MATCH(TournamentData[[#This Row],[Team Number]],CoreValuesResults[Team Number],0)))</f>
        <v>0</v>
      </c>
      <c r="Q98" s="50">
        <f>IF(ISNA(INDEX(CoreValuesResults[Motivate Selection],MATCH(TournamentData[[#This Row],[Team Number]],CoreValuesResults[Team Number],0))),0, INDEX(CoreValuesResults[Motivate Selection],MATCH(TournamentData[[#This Row],[Team Number]],CoreValuesResults[Team Number],0)))</f>
        <v>0</v>
      </c>
      <c r="T98" s="46"/>
      <c r="U98" s="40">
        <f>IF(ISNA(INDEX(CoreValuesResults[Core Values Score],MATCH(TournamentData[[#This Row],[Team Number]],CoreValuesResults[Team Number],0))),0,INDEX(CoreValuesResults[Core Values Score],MATCH(TournamentData[[#This Row],[Team Number]],CoreValuesResults[Team Number],0)))</f>
        <v>0</v>
      </c>
      <c r="V9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8" s="40">
        <f>IF(ISNA(INDEX(RobotDesignResults[Robot Design Score],MATCH(TournamentData[[#This Row],[Team Number]],RobotDesignResults[Team Number],0))),0,INDEX(RobotDesignResults[Robot Design Score],MATCH(TournamentData[[#This Row],[Team Number]],RobotDesignResults[Team Number],0)))</f>
        <v>0</v>
      </c>
      <c r="X9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8" s="48">
        <f t="shared" si="2"/>
        <v>0</v>
      </c>
      <c r="AC98" s="72"/>
      <c r="AD98" s="49"/>
      <c r="AE98" s="46"/>
    </row>
    <row r="99" spans="1:34" s="45" customFormat="1" ht="20.25" customHeight="1" x14ac:dyDescent="0.3">
      <c r="A99" s="40"/>
      <c r="B99" s="41" t="str">
        <f>IF(ISNA(INDEX(OfficialTeamList[Team Name],MATCH(TournamentData[[#This Row],[Team Number]], OfficialTeamList[Team Number],0))),"",INDEX(OfficialTeamList[Team Name],MATCH(TournamentData[[#This Row],[Team Number]], OfficialTeamList[Team Number],0)))</f>
        <v/>
      </c>
      <c r="C99" s="42" t="str">
        <f>IF(TournamentData[[#This Row],[Team Number]]="","",IF(ISNA(INDEX('Robot Game Scores'!C:C,MATCH(TournamentData[[#This Row],[Team Number]], 'Robot Game Scores'!$B:$B,0))),0,INDEX('Robot Game Scores'!C:C,MATCH(TournamentData[[#This Row],[Team Number]], 'Robot Game Scores'!$B:$B,0))))</f>
        <v/>
      </c>
      <c r="D99" s="42" t="str">
        <f>IF(TournamentData[[#This Row],[Team Number]]="","",IF(ISNA(INDEX('Robot Game Scores'!D:D,MATCH(TournamentData[[#This Row],[Team Number]], 'Robot Game Scores'!$B:$B,0))),0,INDEX('Robot Game Scores'!D:D,MATCH(TournamentData[[#This Row],[Team Number]], 'Robot Game Scores'!$B:$B,0))))</f>
        <v/>
      </c>
      <c r="E99" s="42" t="str">
        <f>IF(TournamentData[[#This Row],[Team Number]]="","",IF(ISNA(INDEX('Robot Game Scores'!E:E,MATCH(TournamentData[[#This Row],[Team Number]], 'Robot Game Scores'!$B:$B,0))),0,INDEX('Robot Game Scores'!E:E,MATCH(TournamentData[[#This Row],[Team Number]], 'Robot Game Scores'!$B:$B,0))))</f>
        <v/>
      </c>
      <c r="F99" s="42" t="str">
        <f>IF(TournamentData[[#This Row],[Team Number]]="","",IF(ISNA(INDEX('Robot Game Scores'!F:F,MATCH(TournamentData[[#This Row],[Team Number]], 'Robot Game Scores'!$B:$B,0))),0,INDEX('Robot Game Scores'!F:F,MATCH(TournamentData[[#This Row],[Team Number]], 'Robot Game Scores'!$B:$B,0))))</f>
        <v/>
      </c>
      <c r="G99" s="42" t="str">
        <f>IF(TournamentData[[#This Row],[Team Number]]="","",IF(ISNA(INDEX('Robot Game Scores'!G:G,MATCH(TournamentData[[#This Row],[Team Number]], 'Robot Game Scores'!$B:$B,0))),0,INDEX('Robot Game Scores'!G:G,MATCH(TournamentData[[#This Row],[Team Number]], 'Robot Game Scores'!$B:$B,0))))</f>
        <v/>
      </c>
      <c r="H9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9" s="42" t="str">
        <f>IF(TournamentData[[#This Row],[Team Number]]="","",_xlfn.RANK.EQ(TournamentData[[#This Row],[Max Robot Game Score]],TournamentData[Max Robot Game Score]))</f>
        <v/>
      </c>
      <c r="J9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9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9" s="43" t="str">
        <f>IF(TournamentData[[#This Row],[Team Number]]="","",IF(M99,RANK(M99,M$3:M$110,1)-COUNTIF(M$3:M$110,0),NumberOfTeams+1))</f>
        <v/>
      </c>
      <c r="O99" s="50">
        <f>IF(ISNA(INDEX(CoreValuesResults[Breakthrough Selection],MATCH(TournamentData[[#This Row],[Team Number]],CoreValuesResults[Team Number],0))),0, INDEX(CoreValuesResults[Breakthrough Selection],MATCH(TournamentData[[#This Row],[Team Number]],CoreValuesResults[Team Number],0)))</f>
        <v>0</v>
      </c>
      <c r="P99" s="50">
        <f>IF(ISNA(INDEX(CoreValuesResults[Rising All-Star Selection],MATCH(TournamentData[[#This Row],[Team Number]],CoreValuesResults[Team Number],0))),0, INDEX(CoreValuesResults[Rising All-Star Selection],MATCH(TournamentData[[#This Row],[Team Number]],CoreValuesResults[Team Number],0)))</f>
        <v>0</v>
      </c>
      <c r="Q99" s="50">
        <f>IF(ISNA(INDEX(CoreValuesResults[Motivate Selection],MATCH(TournamentData[[#This Row],[Team Number]],CoreValuesResults[Team Number],0))),0, INDEX(CoreValuesResults[Motivate Selection],MATCH(TournamentData[[#This Row],[Team Number]],CoreValuesResults[Team Number],0)))</f>
        <v>0</v>
      </c>
      <c r="T99" s="46"/>
      <c r="U99" s="40">
        <f>IF(ISNA(INDEX(CoreValuesResults[Core Values Score],MATCH(TournamentData[[#This Row],[Team Number]],CoreValuesResults[Team Number],0))),0,INDEX(CoreValuesResults[Core Values Score],MATCH(TournamentData[[#This Row],[Team Number]],CoreValuesResults[Team Number],0)))</f>
        <v>0</v>
      </c>
      <c r="V9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99" s="40">
        <f>IF(ISNA(INDEX(RobotDesignResults[Robot Design Score],MATCH(TournamentData[[#This Row],[Team Number]],RobotDesignResults[Team Number],0))),0,INDEX(RobotDesignResults[Robot Design Score],MATCH(TournamentData[[#This Row],[Team Number]],RobotDesignResults[Team Number],0)))</f>
        <v>0</v>
      </c>
      <c r="X9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99" s="48">
        <f t="shared" ref="Y99:Y110" si="3">IF(X99,_xlfn.RANK.EQ(X99,X$3:X$110,0),NumberOfTeams)</f>
        <v>0</v>
      </c>
      <c r="AC99" s="72"/>
      <c r="AD99" s="49"/>
      <c r="AE99" s="46"/>
    </row>
    <row r="100" spans="1:34" s="45" customFormat="1" ht="20.25" customHeight="1" x14ac:dyDescent="0.3">
      <c r="A100" s="40"/>
      <c r="B100" s="41" t="str">
        <f>IF(ISNA(INDEX(OfficialTeamList[Team Name],MATCH(TournamentData[[#This Row],[Team Number]], OfficialTeamList[Team Number],0))),"",INDEX(OfficialTeamList[Team Name],MATCH(TournamentData[[#This Row],[Team Number]], OfficialTeamList[Team Number],0)))</f>
        <v/>
      </c>
      <c r="C100" s="42" t="str">
        <f>IF(TournamentData[[#This Row],[Team Number]]="","",IF(ISNA(INDEX('Robot Game Scores'!C:C,MATCH(TournamentData[[#This Row],[Team Number]], 'Robot Game Scores'!$B:$B,0))),0,INDEX('Robot Game Scores'!C:C,MATCH(TournamentData[[#This Row],[Team Number]], 'Robot Game Scores'!$B:$B,0))))</f>
        <v/>
      </c>
      <c r="D100" s="42" t="str">
        <f>IF(TournamentData[[#This Row],[Team Number]]="","",IF(ISNA(INDEX('Robot Game Scores'!D:D,MATCH(TournamentData[[#This Row],[Team Number]], 'Robot Game Scores'!$B:$B,0))),0,INDEX('Robot Game Scores'!D:D,MATCH(TournamentData[[#This Row],[Team Number]], 'Robot Game Scores'!$B:$B,0))))</f>
        <v/>
      </c>
      <c r="E100" s="42" t="str">
        <f>IF(TournamentData[[#This Row],[Team Number]]="","",IF(ISNA(INDEX('Robot Game Scores'!E:E,MATCH(TournamentData[[#This Row],[Team Number]], 'Robot Game Scores'!$B:$B,0))),0,INDEX('Robot Game Scores'!E:E,MATCH(TournamentData[[#This Row],[Team Number]], 'Robot Game Scores'!$B:$B,0))))</f>
        <v/>
      </c>
      <c r="F100" s="42" t="str">
        <f>IF(TournamentData[[#This Row],[Team Number]]="","",IF(ISNA(INDEX('Robot Game Scores'!F:F,MATCH(TournamentData[[#This Row],[Team Number]], 'Robot Game Scores'!$B:$B,0))),0,INDEX('Robot Game Scores'!F:F,MATCH(TournamentData[[#This Row],[Team Number]], 'Robot Game Scores'!$B:$B,0))))</f>
        <v/>
      </c>
      <c r="G100" s="42" t="str">
        <f>IF(TournamentData[[#This Row],[Team Number]]="","",IF(ISNA(INDEX('Robot Game Scores'!G:G,MATCH(TournamentData[[#This Row],[Team Number]], 'Robot Game Scores'!$B:$B,0))),0,INDEX('Robot Game Scores'!G:G,MATCH(TournamentData[[#This Row],[Team Number]], 'Robot Game Scores'!$B:$B,0))))</f>
        <v/>
      </c>
      <c r="H10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0" s="42" t="str">
        <f>IF(TournamentData[[#This Row],[Team Number]]="","",_xlfn.RANK.EQ(TournamentData[[#This Row],[Max Robot Game Score]],TournamentData[Max Robot Game Score]))</f>
        <v/>
      </c>
      <c r="J10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0" s="43" t="str">
        <f>IF(TournamentData[[#This Row],[Team Number]]="","",IF(M100,RANK(M100,M$3:M$110,1)-COUNTIF(M$3:M$110,0),NumberOfTeams+1))</f>
        <v/>
      </c>
      <c r="O100" s="50">
        <f>IF(ISNA(INDEX(CoreValuesResults[Breakthrough Selection],MATCH(TournamentData[[#This Row],[Team Number]],CoreValuesResults[Team Number],0))),0, INDEX(CoreValuesResults[Breakthrough Selection],MATCH(TournamentData[[#This Row],[Team Number]],CoreValuesResults[Team Number],0)))</f>
        <v>0</v>
      </c>
      <c r="P100" s="50">
        <f>IF(ISNA(INDEX(CoreValuesResults[Rising All-Star Selection],MATCH(TournamentData[[#This Row],[Team Number]],CoreValuesResults[Team Number],0))),0, INDEX(CoreValuesResults[Rising All-Star Selection],MATCH(TournamentData[[#This Row],[Team Number]],CoreValuesResults[Team Number],0)))</f>
        <v>0</v>
      </c>
      <c r="Q100" s="50">
        <f>IF(ISNA(INDEX(CoreValuesResults[Motivate Selection],MATCH(TournamentData[[#This Row],[Team Number]],CoreValuesResults[Team Number],0))),0, INDEX(CoreValuesResults[Motivate Selection],MATCH(TournamentData[[#This Row],[Team Number]],CoreValuesResults[Team Number],0)))</f>
        <v>0</v>
      </c>
      <c r="T100" s="46"/>
      <c r="U100" s="40">
        <f>IF(ISNA(INDEX(CoreValuesResults[Core Values Score],MATCH(TournamentData[[#This Row],[Team Number]],CoreValuesResults[Team Number],0))),0,INDEX(CoreValuesResults[Core Values Score],MATCH(TournamentData[[#This Row],[Team Number]],CoreValuesResults[Team Number],0)))</f>
        <v>0</v>
      </c>
      <c r="V10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0" s="40">
        <f>IF(ISNA(INDEX(RobotDesignResults[Robot Design Score],MATCH(TournamentData[[#This Row],[Team Number]],RobotDesignResults[Team Number],0))),0,INDEX(RobotDesignResults[Robot Design Score],MATCH(TournamentData[[#This Row],[Team Number]],RobotDesignResults[Team Number],0)))</f>
        <v>0</v>
      </c>
      <c r="X10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0" s="48">
        <f t="shared" si="3"/>
        <v>0</v>
      </c>
      <c r="AC100" s="72"/>
      <c r="AD100" s="49"/>
      <c r="AE100" s="46"/>
    </row>
    <row r="101" spans="1:34" s="45" customFormat="1" ht="20.25" customHeight="1" x14ac:dyDescent="0.3">
      <c r="A101" s="40"/>
      <c r="B101" s="41" t="str">
        <f>IF(ISNA(INDEX(OfficialTeamList[Team Name],MATCH(TournamentData[[#This Row],[Team Number]], OfficialTeamList[Team Number],0))),"",INDEX(OfficialTeamList[Team Name],MATCH(TournamentData[[#This Row],[Team Number]], OfficialTeamList[Team Number],0)))</f>
        <v/>
      </c>
      <c r="C101" s="42" t="str">
        <f>IF(TournamentData[[#This Row],[Team Number]]="","",IF(ISNA(INDEX('Robot Game Scores'!C:C,MATCH(TournamentData[[#This Row],[Team Number]], 'Robot Game Scores'!$B:$B,0))),0,INDEX('Robot Game Scores'!C:C,MATCH(TournamentData[[#This Row],[Team Number]], 'Robot Game Scores'!$B:$B,0))))</f>
        <v/>
      </c>
      <c r="D101" s="42" t="str">
        <f>IF(TournamentData[[#This Row],[Team Number]]="","",IF(ISNA(INDEX('Robot Game Scores'!D:D,MATCH(TournamentData[[#This Row],[Team Number]], 'Robot Game Scores'!$B:$B,0))),0,INDEX('Robot Game Scores'!D:D,MATCH(TournamentData[[#This Row],[Team Number]], 'Robot Game Scores'!$B:$B,0))))</f>
        <v/>
      </c>
      <c r="E101" s="42" t="str">
        <f>IF(TournamentData[[#This Row],[Team Number]]="","",IF(ISNA(INDEX('Robot Game Scores'!E:E,MATCH(TournamentData[[#This Row],[Team Number]], 'Robot Game Scores'!$B:$B,0))),0,INDEX('Robot Game Scores'!E:E,MATCH(TournamentData[[#This Row],[Team Number]], 'Robot Game Scores'!$B:$B,0))))</f>
        <v/>
      </c>
      <c r="F101" s="42" t="str">
        <f>IF(TournamentData[[#This Row],[Team Number]]="","",IF(ISNA(INDEX('Robot Game Scores'!F:F,MATCH(TournamentData[[#This Row],[Team Number]], 'Robot Game Scores'!$B:$B,0))),0,INDEX('Robot Game Scores'!F:F,MATCH(TournamentData[[#This Row],[Team Number]], 'Robot Game Scores'!$B:$B,0))))</f>
        <v/>
      </c>
      <c r="G101" s="42" t="str">
        <f>IF(TournamentData[[#This Row],[Team Number]]="","",IF(ISNA(INDEX('Robot Game Scores'!G:G,MATCH(TournamentData[[#This Row],[Team Number]], 'Robot Game Scores'!$B:$B,0))),0,INDEX('Robot Game Scores'!G:G,MATCH(TournamentData[[#This Row],[Team Number]], 'Robot Game Scores'!$B:$B,0))))</f>
        <v/>
      </c>
      <c r="H101"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1" s="42" t="str">
        <f>IF(TournamentData[[#This Row],[Team Number]]="","",_xlfn.RANK.EQ(TournamentData[[#This Row],[Max Robot Game Score]],TournamentData[Max Robot Game Score]))</f>
        <v/>
      </c>
      <c r="J101"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1"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1"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1"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1" s="43" t="str">
        <f>IF(TournamentData[[#This Row],[Team Number]]="","",IF(M101,RANK(M101,M$3:M$110,1)-COUNTIF(M$3:M$110,0),NumberOfTeams+1))</f>
        <v/>
      </c>
      <c r="O101" s="50">
        <f>IF(ISNA(INDEX(CoreValuesResults[Breakthrough Selection],MATCH(TournamentData[[#This Row],[Team Number]],CoreValuesResults[Team Number],0))),0, INDEX(CoreValuesResults[Breakthrough Selection],MATCH(TournamentData[[#This Row],[Team Number]],CoreValuesResults[Team Number],0)))</f>
        <v>0</v>
      </c>
      <c r="P101" s="50">
        <f>IF(ISNA(INDEX(CoreValuesResults[Rising All-Star Selection],MATCH(TournamentData[[#This Row],[Team Number]],CoreValuesResults[Team Number],0))),0, INDEX(CoreValuesResults[Rising All-Star Selection],MATCH(TournamentData[[#This Row],[Team Number]],CoreValuesResults[Team Number],0)))</f>
        <v>0</v>
      </c>
      <c r="Q101" s="50">
        <f>IF(ISNA(INDEX(CoreValuesResults[Motivate Selection],MATCH(TournamentData[[#This Row],[Team Number]],CoreValuesResults[Team Number],0))),0, INDEX(CoreValuesResults[Motivate Selection],MATCH(TournamentData[[#This Row],[Team Number]],CoreValuesResults[Team Number],0)))</f>
        <v>0</v>
      </c>
      <c r="T101" s="46"/>
      <c r="U101" s="40">
        <f>IF(ISNA(INDEX(CoreValuesResults[Core Values Score],MATCH(TournamentData[[#This Row],[Team Number]],CoreValuesResults[Team Number],0))),0,INDEX(CoreValuesResults[Core Values Score],MATCH(TournamentData[[#This Row],[Team Number]],CoreValuesResults[Team Number],0)))</f>
        <v>0</v>
      </c>
      <c r="V101"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1" s="40">
        <f>IF(ISNA(INDEX(RobotDesignResults[Robot Design Score],MATCH(TournamentData[[#This Row],[Team Number]],RobotDesignResults[Team Number],0))),0,INDEX(RobotDesignResults[Robot Design Score],MATCH(TournamentData[[#This Row],[Team Number]],RobotDesignResults[Team Number],0)))</f>
        <v>0</v>
      </c>
      <c r="X101"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1" s="48">
        <f t="shared" si="3"/>
        <v>0</v>
      </c>
      <c r="AC101" s="72"/>
      <c r="AD101" s="49"/>
      <c r="AE101" s="46"/>
    </row>
    <row r="102" spans="1:34" s="45" customFormat="1" ht="20.25" customHeight="1" x14ac:dyDescent="0.3">
      <c r="A102" s="40"/>
      <c r="B102" s="41" t="str">
        <f>IF(ISNA(INDEX(OfficialTeamList[Team Name],MATCH(TournamentData[[#This Row],[Team Number]], OfficialTeamList[Team Number],0))),"",INDEX(OfficialTeamList[Team Name],MATCH(TournamentData[[#This Row],[Team Number]], OfficialTeamList[Team Number],0)))</f>
        <v/>
      </c>
      <c r="C102" s="42" t="str">
        <f>IF(TournamentData[[#This Row],[Team Number]]="","",IF(ISNA(INDEX('Robot Game Scores'!C:C,MATCH(TournamentData[[#This Row],[Team Number]], 'Robot Game Scores'!$B:$B,0))),0,INDEX('Robot Game Scores'!C:C,MATCH(TournamentData[[#This Row],[Team Number]], 'Robot Game Scores'!$B:$B,0))))</f>
        <v/>
      </c>
      <c r="D102" s="42" t="str">
        <f>IF(TournamentData[[#This Row],[Team Number]]="","",IF(ISNA(INDEX('Robot Game Scores'!D:D,MATCH(TournamentData[[#This Row],[Team Number]], 'Robot Game Scores'!$B:$B,0))),0,INDEX('Robot Game Scores'!D:D,MATCH(TournamentData[[#This Row],[Team Number]], 'Robot Game Scores'!$B:$B,0))))</f>
        <v/>
      </c>
      <c r="E102" s="42" t="str">
        <f>IF(TournamentData[[#This Row],[Team Number]]="","",IF(ISNA(INDEX('Robot Game Scores'!E:E,MATCH(TournamentData[[#This Row],[Team Number]], 'Robot Game Scores'!$B:$B,0))),0,INDEX('Robot Game Scores'!E:E,MATCH(TournamentData[[#This Row],[Team Number]], 'Robot Game Scores'!$B:$B,0))))</f>
        <v/>
      </c>
      <c r="F102" s="42" t="str">
        <f>IF(TournamentData[[#This Row],[Team Number]]="","",IF(ISNA(INDEX('Robot Game Scores'!F:F,MATCH(TournamentData[[#This Row],[Team Number]], 'Robot Game Scores'!$B:$B,0))),0,INDEX('Robot Game Scores'!F:F,MATCH(TournamentData[[#This Row],[Team Number]], 'Robot Game Scores'!$B:$B,0))))</f>
        <v/>
      </c>
      <c r="G102" s="42" t="str">
        <f>IF(TournamentData[[#This Row],[Team Number]]="","",IF(ISNA(INDEX('Robot Game Scores'!G:G,MATCH(TournamentData[[#This Row],[Team Number]], 'Robot Game Scores'!$B:$B,0))),0,INDEX('Robot Game Scores'!G:G,MATCH(TournamentData[[#This Row],[Team Number]], 'Robot Game Scores'!$B:$B,0))))</f>
        <v/>
      </c>
      <c r="H102"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2" s="42" t="str">
        <f>IF(TournamentData[[#This Row],[Team Number]]="","",_xlfn.RANK.EQ(TournamentData[[#This Row],[Max Robot Game Score]],TournamentData[Max Robot Game Score]))</f>
        <v/>
      </c>
      <c r="J102"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2"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2"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2"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2" s="43" t="str">
        <f>IF(TournamentData[[#This Row],[Team Number]]="","",IF(M102,RANK(M102,M$3:M$110,1)-COUNTIF(M$3:M$110,0),NumberOfTeams+1))</f>
        <v/>
      </c>
      <c r="O102" s="50">
        <f>IF(ISNA(INDEX(CoreValuesResults[Breakthrough Selection],MATCH(TournamentData[[#This Row],[Team Number]],CoreValuesResults[Team Number],0))),0, INDEX(CoreValuesResults[Breakthrough Selection],MATCH(TournamentData[[#This Row],[Team Number]],CoreValuesResults[Team Number],0)))</f>
        <v>0</v>
      </c>
      <c r="P102" s="50">
        <f>IF(ISNA(INDEX(CoreValuesResults[Rising All-Star Selection],MATCH(TournamentData[[#This Row],[Team Number]],CoreValuesResults[Team Number],0))),0, INDEX(CoreValuesResults[Rising All-Star Selection],MATCH(TournamentData[[#This Row],[Team Number]],CoreValuesResults[Team Number],0)))</f>
        <v>0</v>
      </c>
      <c r="Q102" s="50">
        <f>IF(ISNA(INDEX(CoreValuesResults[Motivate Selection],MATCH(TournamentData[[#This Row],[Team Number]],CoreValuesResults[Team Number],0))),0, INDEX(CoreValuesResults[Motivate Selection],MATCH(TournamentData[[#This Row],[Team Number]],CoreValuesResults[Team Number],0)))</f>
        <v>0</v>
      </c>
      <c r="T102" s="46"/>
      <c r="U102" s="40">
        <f>IF(ISNA(INDEX(CoreValuesResults[Core Values Score],MATCH(TournamentData[[#This Row],[Team Number]],CoreValuesResults[Team Number],0))),0,INDEX(CoreValuesResults[Core Values Score],MATCH(TournamentData[[#This Row],[Team Number]],CoreValuesResults[Team Number],0)))</f>
        <v>0</v>
      </c>
      <c r="V102"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2" s="40">
        <f>IF(ISNA(INDEX(RobotDesignResults[Robot Design Score],MATCH(TournamentData[[#This Row],[Team Number]],RobotDesignResults[Team Number],0))),0,INDEX(RobotDesignResults[Robot Design Score],MATCH(TournamentData[[#This Row],[Team Number]],RobotDesignResults[Team Number],0)))</f>
        <v>0</v>
      </c>
      <c r="X102"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2" s="48">
        <f t="shared" si="3"/>
        <v>0</v>
      </c>
      <c r="AC102" s="72"/>
      <c r="AD102" s="49"/>
      <c r="AE102" s="46"/>
    </row>
    <row r="103" spans="1:34" s="45" customFormat="1" ht="20.25" customHeight="1" x14ac:dyDescent="0.3">
      <c r="A103" s="40"/>
      <c r="B103" s="41" t="str">
        <f>IF(ISNA(INDEX(OfficialTeamList[Team Name],MATCH(TournamentData[[#This Row],[Team Number]], OfficialTeamList[Team Number],0))),"",INDEX(OfficialTeamList[Team Name],MATCH(TournamentData[[#This Row],[Team Number]], OfficialTeamList[Team Number],0)))</f>
        <v/>
      </c>
      <c r="C103" s="42" t="str">
        <f>IF(TournamentData[[#This Row],[Team Number]]="","",IF(ISNA(INDEX('Robot Game Scores'!C:C,MATCH(TournamentData[[#This Row],[Team Number]], 'Robot Game Scores'!$B:$B,0))),0,INDEX('Robot Game Scores'!C:C,MATCH(TournamentData[[#This Row],[Team Number]], 'Robot Game Scores'!$B:$B,0))))</f>
        <v/>
      </c>
      <c r="D103" s="42" t="str">
        <f>IF(TournamentData[[#This Row],[Team Number]]="","",IF(ISNA(INDEX('Robot Game Scores'!D:D,MATCH(TournamentData[[#This Row],[Team Number]], 'Robot Game Scores'!$B:$B,0))),0,INDEX('Robot Game Scores'!D:D,MATCH(TournamentData[[#This Row],[Team Number]], 'Robot Game Scores'!$B:$B,0))))</f>
        <v/>
      </c>
      <c r="E103" s="42" t="str">
        <f>IF(TournamentData[[#This Row],[Team Number]]="","",IF(ISNA(INDEX('Robot Game Scores'!E:E,MATCH(TournamentData[[#This Row],[Team Number]], 'Robot Game Scores'!$B:$B,0))),0,INDEX('Robot Game Scores'!E:E,MATCH(TournamentData[[#This Row],[Team Number]], 'Robot Game Scores'!$B:$B,0))))</f>
        <v/>
      </c>
      <c r="F103" s="42" t="str">
        <f>IF(TournamentData[[#This Row],[Team Number]]="","",IF(ISNA(INDEX('Robot Game Scores'!F:F,MATCH(TournamentData[[#This Row],[Team Number]], 'Robot Game Scores'!$B:$B,0))),0,INDEX('Robot Game Scores'!F:F,MATCH(TournamentData[[#This Row],[Team Number]], 'Robot Game Scores'!$B:$B,0))))</f>
        <v/>
      </c>
      <c r="G103" s="42" t="str">
        <f>IF(TournamentData[[#This Row],[Team Number]]="","",IF(ISNA(INDEX('Robot Game Scores'!G:G,MATCH(TournamentData[[#This Row],[Team Number]], 'Robot Game Scores'!$B:$B,0))),0,INDEX('Robot Game Scores'!G:G,MATCH(TournamentData[[#This Row],[Team Number]], 'Robot Game Scores'!$B:$B,0))))</f>
        <v/>
      </c>
      <c r="H103"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3" s="42" t="str">
        <f>IF(TournamentData[[#This Row],[Team Number]]="","",_xlfn.RANK.EQ(TournamentData[[#This Row],[Max Robot Game Score]],TournamentData[Max Robot Game Score]))</f>
        <v/>
      </c>
      <c r="J103"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3"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3"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3"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3" s="43" t="str">
        <f>IF(TournamentData[[#This Row],[Team Number]]="","",IF(M103,RANK(M103,M$3:M$110,1)-COUNTIF(M$3:M$110,0),NumberOfTeams+1))</f>
        <v/>
      </c>
      <c r="O103" s="50">
        <f>IF(ISNA(INDEX(CoreValuesResults[Breakthrough Selection],MATCH(TournamentData[[#This Row],[Team Number]],CoreValuesResults[Team Number],0))),0, INDEX(CoreValuesResults[Breakthrough Selection],MATCH(TournamentData[[#This Row],[Team Number]],CoreValuesResults[Team Number],0)))</f>
        <v>0</v>
      </c>
      <c r="P103" s="50">
        <f>IF(ISNA(INDEX(CoreValuesResults[Rising All-Star Selection],MATCH(TournamentData[[#This Row],[Team Number]],CoreValuesResults[Team Number],0))),0, INDEX(CoreValuesResults[Rising All-Star Selection],MATCH(TournamentData[[#This Row],[Team Number]],CoreValuesResults[Team Number],0)))</f>
        <v>0</v>
      </c>
      <c r="Q103" s="50">
        <f>IF(ISNA(INDEX(CoreValuesResults[Motivate Selection],MATCH(TournamentData[[#This Row],[Team Number]],CoreValuesResults[Team Number],0))),0, INDEX(CoreValuesResults[Motivate Selection],MATCH(TournamentData[[#This Row],[Team Number]],CoreValuesResults[Team Number],0)))</f>
        <v>0</v>
      </c>
      <c r="T103" s="46"/>
      <c r="U103" s="40">
        <f>IF(ISNA(INDEX(CoreValuesResults[Core Values Score],MATCH(TournamentData[[#This Row],[Team Number]],CoreValuesResults[Team Number],0))),0,INDEX(CoreValuesResults[Core Values Score],MATCH(TournamentData[[#This Row],[Team Number]],CoreValuesResults[Team Number],0)))</f>
        <v>0</v>
      </c>
      <c r="V103"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3" s="40">
        <f>IF(ISNA(INDEX(RobotDesignResults[Robot Design Score],MATCH(TournamentData[[#This Row],[Team Number]],RobotDesignResults[Team Number],0))),0,INDEX(RobotDesignResults[Robot Design Score],MATCH(TournamentData[[#This Row],[Team Number]],RobotDesignResults[Team Number],0)))</f>
        <v>0</v>
      </c>
      <c r="X103"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3" s="48">
        <f t="shared" si="3"/>
        <v>0</v>
      </c>
      <c r="AC103" s="72"/>
      <c r="AD103" s="49"/>
      <c r="AE103" s="46"/>
    </row>
    <row r="104" spans="1:34" s="45" customFormat="1" ht="20.25" customHeight="1" x14ac:dyDescent="0.3">
      <c r="A104" s="40"/>
      <c r="B104" s="41" t="str">
        <f>IF(ISNA(INDEX(OfficialTeamList[Team Name],MATCH(TournamentData[[#This Row],[Team Number]], OfficialTeamList[Team Number],0))),"",INDEX(OfficialTeamList[Team Name],MATCH(TournamentData[[#This Row],[Team Number]], OfficialTeamList[Team Number],0)))</f>
        <v/>
      </c>
      <c r="C104" s="42" t="str">
        <f>IF(TournamentData[[#This Row],[Team Number]]="","",IF(ISNA(INDEX('Robot Game Scores'!C:C,MATCH(TournamentData[[#This Row],[Team Number]], 'Robot Game Scores'!$B:$B,0))),0,INDEX('Robot Game Scores'!C:C,MATCH(TournamentData[[#This Row],[Team Number]], 'Robot Game Scores'!$B:$B,0))))</f>
        <v/>
      </c>
      <c r="D104" s="42" t="str">
        <f>IF(TournamentData[[#This Row],[Team Number]]="","",IF(ISNA(INDEX('Robot Game Scores'!D:D,MATCH(TournamentData[[#This Row],[Team Number]], 'Robot Game Scores'!$B:$B,0))),0,INDEX('Robot Game Scores'!D:D,MATCH(TournamentData[[#This Row],[Team Number]], 'Robot Game Scores'!$B:$B,0))))</f>
        <v/>
      </c>
      <c r="E104" s="42" t="str">
        <f>IF(TournamentData[[#This Row],[Team Number]]="","",IF(ISNA(INDEX('Robot Game Scores'!E:E,MATCH(TournamentData[[#This Row],[Team Number]], 'Robot Game Scores'!$B:$B,0))),0,INDEX('Robot Game Scores'!E:E,MATCH(TournamentData[[#This Row],[Team Number]], 'Robot Game Scores'!$B:$B,0))))</f>
        <v/>
      </c>
      <c r="F104" s="42" t="str">
        <f>IF(TournamentData[[#This Row],[Team Number]]="","",IF(ISNA(INDEX('Robot Game Scores'!F:F,MATCH(TournamentData[[#This Row],[Team Number]], 'Robot Game Scores'!$B:$B,0))),0,INDEX('Robot Game Scores'!F:F,MATCH(TournamentData[[#This Row],[Team Number]], 'Robot Game Scores'!$B:$B,0))))</f>
        <v/>
      </c>
      <c r="G104" s="42" t="str">
        <f>IF(TournamentData[[#This Row],[Team Number]]="","",IF(ISNA(INDEX('Robot Game Scores'!G:G,MATCH(TournamentData[[#This Row],[Team Number]], 'Robot Game Scores'!$B:$B,0))),0,INDEX('Robot Game Scores'!G:G,MATCH(TournamentData[[#This Row],[Team Number]], 'Robot Game Scores'!$B:$B,0))))</f>
        <v/>
      </c>
      <c r="H104"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4" s="42" t="str">
        <f>IF(TournamentData[[#This Row],[Team Number]]="","",_xlfn.RANK.EQ(TournamentData[[#This Row],[Max Robot Game Score]],TournamentData[Max Robot Game Score]))</f>
        <v/>
      </c>
      <c r="J104"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4"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4"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4"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4" s="43" t="str">
        <f>IF(TournamentData[[#This Row],[Team Number]]="","",IF(M104,RANK(M104,M$3:M$110,1)-COUNTIF(M$3:M$110,0),NumberOfTeams+1))</f>
        <v/>
      </c>
      <c r="O104" s="50">
        <f>IF(ISNA(INDEX(CoreValuesResults[Breakthrough Selection],MATCH(TournamentData[[#This Row],[Team Number]],CoreValuesResults[Team Number],0))),0, INDEX(CoreValuesResults[Breakthrough Selection],MATCH(TournamentData[[#This Row],[Team Number]],CoreValuesResults[Team Number],0)))</f>
        <v>0</v>
      </c>
      <c r="P104" s="50">
        <f>IF(ISNA(INDEX(CoreValuesResults[Rising All-Star Selection],MATCH(TournamentData[[#This Row],[Team Number]],CoreValuesResults[Team Number],0))),0, INDEX(CoreValuesResults[Rising All-Star Selection],MATCH(TournamentData[[#This Row],[Team Number]],CoreValuesResults[Team Number],0)))</f>
        <v>0</v>
      </c>
      <c r="Q104" s="50">
        <f>IF(ISNA(INDEX(CoreValuesResults[Motivate Selection],MATCH(TournamentData[[#This Row],[Team Number]],CoreValuesResults[Team Number],0))),0, INDEX(CoreValuesResults[Motivate Selection],MATCH(TournamentData[[#This Row],[Team Number]],CoreValuesResults[Team Number],0)))</f>
        <v>0</v>
      </c>
      <c r="T104" s="46"/>
      <c r="U104" s="40">
        <f>IF(ISNA(INDEX(CoreValuesResults[Core Values Score],MATCH(TournamentData[[#This Row],[Team Number]],CoreValuesResults[Team Number],0))),0,INDEX(CoreValuesResults[Core Values Score],MATCH(TournamentData[[#This Row],[Team Number]],CoreValuesResults[Team Number],0)))</f>
        <v>0</v>
      </c>
      <c r="V104"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4" s="40">
        <f>IF(ISNA(INDEX(RobotDesignResults[Robot Design Score],MATCH(TournamentData[[#This Row],[Team Number]],RobotDesignResults[Team Number],0))),0,INDEX(RobotDesignResults[Robot Design Score],MATCH(TournamentData[[#This Row],[Team Number]],RobotDesignResults[Team Number],0)))</f>
        <v>0</v>
      </c>
      <c r="X104"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4" s="48">
        <f t="shared" si="3"/>
        <v>0</v>
      </c>
      <c r="AC104" s="72"/>
      <c r="AD104" s="49"/>
      <c r="AE104" s="46"/>
    </row>
    <row r="105" spans="1:34" s="45" customFormat="1" ht="20.25" customHeight="1" x14ac:dyDescent="0.3">
      <c r="A105" s="40"/>
      <c r="B105" s="41" t="str">
        <f>IF(ISNA(INDEX(OfficialTeamList[Team Name],MATCH(TournamentData[[#This Row],[Team Number]], OfficialTeamList[Team Number],0))),"",INDEX(OfficialTeamList[Team Name],MATCH(TournamentData[[#This Row],[Team Number]], OfficialTeamList[Team Number],0)))</f>
        <v/>
      </c>
      <c r="C105" s="42" t="str">
        <f>IF(TournamentData[[#This Row],[Team Number]]="","",IF(ISNA(INDEX('Robot Game Scores'!C:C,MATCH(TournamentData[[#This Row],[Team Number]], 'Robot Game Scores'!$B:$B,0))),0,INDEX('Robot Game Scores'!C:C,MATCH(TournamentData[[#This Row],[Team Number]], 'Robot Game Scores'!$B:$B,0))))</f>
        <v/>
      </c>
      <c r="D105" s="42" t="str">
        <f>IF(TournamentData[[#This Row],[Team Number]]="","",IF(ISNA(INDEX('Robot Game Scores'!D:D,MATCH(TournamentData[[#This Row],[Team Number]], 'Robot Game Scores'!$B:$B,0))),0,INDEX('Robot Game Scores'!D:D,MATCH(TournamentData[[#This Row],[Team Number]], 'Robot Game Scores'!$B:$B,0))))</f>
        <v/>
      </c>
      <c r="E105" s="42" t="str">
        <f>IF(TournamentData[[#This Row],[Team Number]]="","",IF(ISNA(INDEX('Robot Game Scores'!E:E,MATCH(TournamentData[[#This Row],[Team Number]], 'Robot Game Scores'!$B:$B,0))),0,INDEX('Robot Game Scores'!E:E,MATCH(TournamentData[[#This Row],[Team Number]], 'Robot Game Scores'!$B:$B,0))))</f>
        <v/>
      </c>
      <c r="F105" s="42" t="str">
        <f>IF(TournamentData[[#This Row],[Team Number]]="","",IF(ISNA(INDEX('Robot Game Scores'!F:F,MATCH(TournamentData[[#This Row],[Team Number]], 'Robot Game Scores'!$B:$B,0))),0,INDEX('Robot Game Scores'!F:F,MATCH(TournamentData[[#This Row],[Team Number]], 'Robot Game Scores'!$B:$B,0))))</f>
        <v/>
      </c>
      <c r="G105" s="42" t="str">
        <f>IF(TournamentData[[#This Row],[Team Number]]="","",IF(ISNA(INDEX('Robot Game Scores'!G:G,MATCH(TournamentData[[#This Row],[Team Number]], 'Robot Game Scores'!$B:$B,0))),0,INDEX('Robot Game Scores'!G:G,MATCH(TournamentData[[#This Row],[Team Number]], 'Robot Game Scores'!$B:$B,0))))</f>
        <v/>
      </c>
      <c r="H105"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5" s="42" t="str">
        <f>IF(TournamentData[[#This Row],[Team Number]]="","",_xlfn.RANK.EQ(TournamentData[[#This Row],[Max Robot Game Score]],TournamentData[Max Robot Game Score]))</f>
        <v/>
      </c>
      <c r="J105"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5"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5"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5"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5" s="43" t="str">
        <f>IF(TournamentData[[#This Row],[Team Number]]="","",IF(M105,RANK(M105,M$3:M$110,1)-COUNTIF(M$3:M$110,0),NumberOfTeams+1))</f>
        <v/>
      </c>
      <c r="O105" s="50">
        <f>IF(ISNA(INDEX(CoreValuesResults[Breakthrough Selection],MATCH(TournamentData[[#This Row],[Team Number]],CoreValuesResults[Team Number],0))),0, INDEX(CoreValuesResults[Breakthrough Selection],MATCH(TournamentData[[#This Row],[Team Number]],CoreValuesResults[Team Number],0)))</f>
        <v>0</v>
      </c>
      <c r="P105" s="50">
        <f>IF(ISNA(INDEX(CoreValuesResults[Rising All-Star Selection],MATCH(TournamentData[[#This Row],[Team Number]],CoreValuesResults[Team Number],0))),0, INDEX(CoreValuesResults[Rising All-Star Selection],MATCH(TournamentData[[#This Row],[Team Number]],CoreValuesResults[Team Number],0)))</f>
        <v>0</v>
      </c>
      <c r="Q105" s="50">
        <f>IF(ISNA(INDEX(CoreValuesResults[Motivate Selection],MATCH(TournamentData[[#This Row],[Team Number]],CoreValuesResults[Team Number],0))),0, INDEX(CoreValuesResults[Motivate Selection],MATCH(TournamentData[[#This Row],[Team Number]],CoreValuesResults[Team Number],0)))</f>
        <v>0</v>
      </c>
      <c r="T105" s="46"/>
      <c r="U105" s="40">
        <f>IF(ISNA(INDEX(CoreValuesResults[Core Values Score],MATCH(TournamentData[[#This Row],[Team Number]],CoreValuesResults[Team Number],0))),0,INDEX(CoreValuesResults[Core Values Score],MATCH(TournamentData[[#This Row],[Team Number]],CoreValuesResults[Team Number],0)))</f>
        <v>0</v>
      </c>
      <c r="V105"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5" s="40">
        <f>IF(ISNA(INDEX(RobotDesignResults[Robot Design Score],MATCH(TournamentData[[#This Row],[Team Number]],RobotDesignResults[Team Number],0))),0,INDEX(RobotDesignResults[Robot Design Score],MATCH(TournamentData[[#This Row],[Team Number]],RobotDesignResults[Team Number],0)))</f>
        <v>0</v>
      </c>
      <c r="X105"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5" s="48">
        <f t="shared" si="3"/>
        <v>0</v>
      </c>
      <c r="AC105" s="72"/>
      <c r="AD105" s="49"/>
      <c r="AE105" s="46"/>
    </row>
    <row r="106" spans="1:34" s="45" customFormat="1" ht="20.25" customHeight="1" x14ac:dyDescent="0.3">
      <c r="A106" s="40"/>
      <c r="B106" s="41" t="str">
        <f>IF(ISNA(INDEX(OfficialTeamList[Team Name],MATCH(TournamentData[[#This Row],[Team Number]], OfficialTeamList[Team Number],0))),"",INDEX(OfficialTeamList[Team Name],MATCH(TournamentData[[#This Row],[Team Number]], OfficialTeamList[Team Number],0)))</f>
        <v/>
      </c>
      <c r="C106" s="42" t="str">
        <f>IF(TournamentData[[#This Row],[Team Number]]="","",IF(ISNA(INDEX('Robot Game Scores'!C:C,MATCH(TournamentData[[#This Row],[Team Number]], 'Robot Game Scores'!$B:$B,0))),0,INDEX('Robot Game Scores'!C:C,MATCH(TournamentData[[#This Row],[Team Number]], 'Robot Game Scores'!$B:$B,0))))</f>
        <v/>
      </c>
      <c r="D106" s="42" t="str">
        <f>IF(TournamentData[[#This Row],[Team Number]]="","",IF(ISNA(INDEX('Robot Game Scores'!D:D,MATCH(TournamentData[[#This Row],[Team Number]], 'Robot Game Scores'!$B:$B,0))),0,INDEX('Robot Game Scores'!D:D,MATCH(TournamentData[[#This Row],[Team Number]], 'Robot Game Scores'!$B:$B,0))))</f>
        <v/>
      </c>
      <c r="E106" s="42" t="str">
        <f>IF(TournamentData[[#This Row],[Team Number]]="","",IF(ISNA(INDEX('Robot Game Scores'!E:E,MATCH(TournamentData[[#This Row],[Team Number]], 'Robot Game Scores'!$B:$B,0))),0,INDEX('Robot Game Scores'!E:E,MATCH(TournamentData[[#This Row],[Team Number]], 'Robot Game Scores'!$B:$B,0))))</f>
        <v/>
      </c>
      <c r="F106" s="42" t="str">
        <f>IF(TournamentData[[#This Row],[Team Number]]="","",IF(ISNA(INDEX('Robot Game Scores'!F:F,MATCH(TournamentData[[#This Row],[Team Number]], 'Robot Game Scores'!$B:$B,0))),0,INDEX('Robot Game Scores'!F:F,MATCH(TournamentData[[#This Row],[Team Number]], 'Robot Game Scores'!$B:$B,0))))</f>
        <v/>
      </c>
      <c r="G106" s="42" t="str">
        <f>IF(TournamentData[[#This Row],[Team Number]]="","",IF(ISNA(INDEX('Robot Game Scores'!G:G,MATCH(TournamentData[[#This Row],[Team Number]], 'Robot Game Scores'!$B:$B,0))),0,INDEX('Robot Game Scores'!G:G,MATCH(TournamentData[[#This Row],[Team Number]], 'Robot Game Scores'!$B:$B,0))))</f>
        <v/>
      </c>
      <c r="H106"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6" s="42" t="str">
        <f>IF(TournamentData[[#This Row],[Team Number]]="","",_xlfn.RANK.EQ(TournamentData[[#This Row],[Max Robot Game Score]],TournamentData[Max Robot Game Score]))</f>
        <v/>
      </c>
      <c r="J106"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6"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6"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6"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6" s="43" t="str">
        <f>IF(TournamentData[[#This Row],[Team Number]]="","",IF(M106,RANK(M106,M$3:M$110,1)-COUNTIF(M$3:M$110,0),NumberOfTeams+1))</f>
        <v/>
      </c>
      <c r="O106" s="50">
        <f>IF(ISNA(INDEX(CoreValuesResults[Breakthrough Selection],MATCH(TournamentData[[#This Row],[Team Number]],CoreValuesResults[Team Number],0))),0, INDEX(CoreValuesResults[Breakthrough Selection],MATCH(TournamentData[[#This Row],[Team Number]],CoreValuesResults[Team Number],0)))</f>
        <v>0</v>
      </c>
      <c r="P106" s="50">
        <f>IF(ISNA(INDEX(CoreValuesResults[Rising All-Star Selection],MATCH(TournamentData[[#This Row],[Team Number]],CoreValuesResults[Team Number],0))),0, INDEX(CoreValuesResults[Rising All-Star Selection],MATCH(TournamentData[[#This Row],[Team Number]],CoreValuesResults[Team Number],0)))</f>
        <v>0</v>
      </c>
      <c r="Q106" s="50">
        <f>IF(ISNA(INDEX(CoreValuesResults[Motivate Selection],MATCH(TournamentData[[#This Row],[Team Number]],CoreValuesResults[Team Number],0))),0, INDEX(CoreValuesResults[Motivate Selection],MATCH(TournamentData[[#This Row],[Team Number]],CoreValuesResults[Team Number],0)))</f>
        <v>0</v>
      </c>
      <c r="T106" s="46"/>
      <c r="U106" s="40">
        <f>IF(ISNA(INDEX(CoreValuesResults[Core Values Score],MATCH(TournamentData[[#This Row],[Team Number]],CoreValuesResults[Team Number],0))),0,INDEX(CoreValuesResults[Core Values Score],MATCH(TournamentData[[#This Row],[Team Number]],CoreValuesResults[Team Number],0)))</f>
        <v>0</v>
      </c>
      <c r="V106"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6" s="40">
        <f>IF(ISNA(INDEX(RobotDesignResults[Robot Design Score],MATCH(TournamentData[[#This Row],[Team Number]],RobotDesignResults[Team Number],0))),0,INDEX(RobotDesignResults[Robot Design Score],MATCH(TournamentData[[#This Row],[Team Number]],RobotDesignResults[Team Number],0)))</f>
        <v>0</v>
      </c>
      <c r="X106"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6" s="48">
        <f t="shared" si="3"/>
        <v>0</v>
      </c>
      <c r="AC106" s="72"/>
      <c r="AD106" s="49"/>
      <c r="AE106" s="46"/>
    </row>
    <row r="107" spans="1:34" s="45" customFormat="1" ht="20.25" customHeight="1" x14ac:dyDescent="0.3">
      <c r="A107" s="40"/>
      <c r="B107" s="41" t="str">
        <f>IF(ISNA(INDEX(OfficialTeamList[Team Name],MATCH(TournamentData[[#This Row],[Team Number]], OfficialTeamList[Team Number],0))),"",INDEX(OfficialTeamList[Team Name],MATCH(TournamentData[[#This Row],[Team Number]], OfficialTeamList[Team Number],0)))</f>
        <v/>
      </c>
      <c r="C107" s="42" t="str">
        <f>IF(TournamentData[[#This Row],[Team Number]]="","",IF(ISNA(INDEX('Robot Game Scores'!C:C,MATCH(TournamentData[[#This Row],[Team Number]], 'Robot Game Scores'!$B:$B,0))),0,INDEX('Robot Game Scores'!C:C,MATCH(TournamentData[[#This Row],[Team Number]], 'Robot Game Scores'!$B:$B,0))))</f>
        <v/>
      </c>
      <c r="D107" s="42" t="str">
        <f>IF(TournamentData[[#This Row],[Team Number]]="","",IF(ISNA(INDEX('Robot Game Scores'!D:D,MATCH(TournamentData[[#This Row],[Team Number]], 'Robot Game Scores'!$B:$B,0))),0,INDEX('Robot Game Scores'!D:D,MATCH(TournamentData[[#This Row],[Team Number]], 'Robot Game Scores'!$B:$B,0))))</f>
        <v/>
      </c>
      <c r="E107" s="42" t="str">
        <f>IF(TournamentData[[#This Row],[Team Number]]="","",IF(ISNA(INDEX('Robot Game Scores'!E:E,MATCH(TournamentData[[#This Row],[Team Number]], 'Robot Game Scores'!$B:$B,0))),0,INDEX('Robot Game Scores'!E:E,MATCH(TournamentData[[#This Row],[Team Number]], 'Robot Game Scores'!$B:$B,0))))</f>
        <v/>
      </c>
      <c r="F107" s="42" t="str">
        <f>IF(TournamentData[[#This Row],[Team Number]]="","",IF(ISNA(INDEX('Robot Game Scores'!F:F,MATCH(TournamentData[[#This Row],[Team Number]], 'Robot Game Scores'!$B:$B,0))),0,INDEX('Robot Game Scores'!F:F,MATCH(TournamentData[[#This Row],[Team Number]], 'Robot Game Scores'!$B:$B,0))))</f>
        <v/>
      </c>
      <c r="G107" s="42" t="str">
        <f>IF(TournamentData[[#This Row],[Team Number]]="","",IF(ISNA(INDEX('Robot Game Scores'!G:G,MATCH(TournamentData[[#This Row],[Team Number]], 'Robot Game Scores'!$B:$B,0))),0,INDEX('Robot Game Scores'!G:G,MATCH(TournamentData[[#This Row],[Team Number]], 'Robot Game Scores'!$B:$B,0))))</f>
        <v/>
      </c>
      <c r="H107"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7" s="42" t="str">
        <f>IF(TournamentData[[#This Row],[Team Number]]="","",_xlfn.RANK.EQ(TournamentData[[#This Row],[Max Robot Game Score]],TournamentData[Max Robot Game Score]))</f>
        <v/>
      </c>
      <c r="J107"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7"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7"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7"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7" s="43" t="str">
        <f>IF(TournamentData[[#This Row],[Team Number]]="","",IF(M107,RANK(M107,M$3:M$110,1)-COUNTIF(M$3:M$110,0),NumberOfTeams+1))</f>
        <v/>
      </c>
      <c r="O107" s="50">
        <f>IF(ISNA(INDEX(CoreValuesResults[Breakthrough Selection],MATCH(TournamentData[[#This Row],[Team Number]],CoreValuesResults[Team Number],0))),0, INDEX(CoreValuesResults[Breakthrough Selection],MATCH(TournamentData[[#This Row],[Team Number]],CoreValuesResults[Team Number],0)))</f>
        <v>0</v>
      </c>
      <c r="P107" s="50">
        <f>IF(ISNA(INDEX(CoreValuesResults[Rising All-Star Selection],MATCH(TournamentData[[#This Row],[Team Number]],CoreValuesResults[Team Number],0))),0, INDEX(CoreValuesResults[Rising All-Star Selection],MATCH(TournamentData[[#This Row],[Team Number]],CoreValuesResults[Team Number],0)))</f>
        <v>0</v>
      </c>
      <c r="Q107" s="50">
        <f>IF(ISNA(INDEX(CoreValuesResults[Motivate Selection],MATCH(TournamentData[[#This Row],[Team Number]],CoreValuesResults[Team Number],0))),0, INDEX(CoreValuesResults[Motivate Selection],MATCH(TournamentData[[#This Row],[Team Number]],CoreValuesResults[Team Number],0)))</f>
        <v>0</v>
      </c>
      <c r="T107" s="46"/>
      <c r="U107" s="40">
        <f>IF(ISNA(INDEX(CoreValuesResults[Core Values Score],MATCH(TournamentData[[#This Row],[Team Number]],CoreValuesResults[Team Number],0))),0,INDEX(CoreValuesResults[Core Values Score],MATCH(TournamentData[[#This Row],[Team Number]],CoreValuesResults[Team Number],0)))</f>
        <v>0</v>
      </c>
      <c r="V107"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7" s="40">
        <f>IF(ISNA(INDEX(RobotDesignResults[Robot Design Score],MATCH(TournamentData[[#This Row],[Team Number]],RobotDesignResults[Team Number],0))),0,INDEX(RobotDesignResults[Robot Design Score],MATCH(TournamentData[[#This Row],[Team Number]],RobotDesignResults[Team Number],0)))</f>
        <v>0</v>
      </c>
      <c r="X107"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7" s="48">
        <f t="shared" si="3"/>
        <v>0</v>
      </c>
      <c r="AC107" s="72"/>
      <c r="AD107" s="49"/>
      <c r="AE107" s="46"/>
    </row>
    <row r="108" spans="1:34" s="45" customFormat="1" ht="20.25" customHeight="1" x14ac:dyDescent="0.3">
      <c r="A108" s="40"/>
      <c r="B108" s="41" t="str">
        <f>IF(ISNA(INDEX(OfficialTeamList[Team Name],MATCH(TournamentData[[#This Row],[Team Number]], OfficialTeamList[Team Number],0))),"",INDEX(OfficialTeamList[Team Name],MATCH(TournamentData[[#This Row],[Team Number]], OfficialTeamList[Team Number],0)))</f>
        <v/>
      </c>
      <c r="C108" s="42" t="str">
        <f>IF(TournamentData[[#This Row],[Team Number]]="","",IF(ISNA(INDEX('Robot Game Scores'!C:C,MATCH(TournamentData[[#This Row],[Team Number]], 'Robot Game Scores'!$B:$B,0))),0,INDEX('Robot Game Scores'!C:C,MATCH(TournamentData[[#This Row],[Team Number]], 'Robot Game Scores'!$B:$B,0))))</f>
        <v/>
      </c>
      <c r="D108" s="42" t="str">
        <f>IF(TournamentData[[#This Row],[Team Number]]="","",IF(ISNA(INDEX('Robot Game Scores'!D:D,MATCH(TournamentData[[#This Row],[Team Number]], 'Robot Game Scores'!$B:$B,0))),0,INDEX('Robot Game Scores'!D:D,MATCH(TournamentData[[#This Row],[Team Number]], 'Robot Game Scores'!$B:$B,0))))</f>
        <v/>
      </c>
      <c r="E108" s="42" t="str">
        <f>IF(TournamentData[[#This Row],[Team Number]]="","",IF(ISNA(INDEX('Robot Game Scores'!E:E,MATCH(TournamentData[[#This Row],[Team Number]], 'Robot Game Scores'!$B:$B,0))),0,INDEX('Robot Game Scores'!E:E,MATCH(TournamentData[[#This Row],[Team Number]], 'Robot Game Scores'!$B:$B,0))))</f>
        <v/>
      </c>
      <c r="F108" s="42" t="str">
        <f>IF(TournamentData[[#This Row],[Team Number]]="","",IF(ISNA(INDEX('Robot Game Scores'!F:F,MATCH(TournamentData[[#This Row],[Team Number]], 'Robot Game Scores'!$B:$B,0))),0,INDEX('Robot Game Scores'!F:F,MATCH(TournamentData[[#This Row],[Team Number]], 'Robot Game Scores'!$B:$B,0))))</f>
        <v/>
      </c>
      <c r="G108" s="42" t="str">
        <f>IF(TournamentData[[#This Row],[Team Number]]="","",IF(ISNA(INDEX('Robot Game Scores'!G:G,MATCH(TournamentData[[#This Row],[Team Number]], 'Robot Game Scores'!$B:$B,0))),0,INDEX('Robot Game Scores'!G:G,MATCH(TournamentData[[#This Row],[Team Number]], 'Robot Game Scores'!$B:$B,0))))</f>
        <v/>
      </c>
      <c r="H108"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8" s="42" t="str">
        <f>IF(TournamentData[[#This Row],[Team Number]]="","",_xlfn.RANK.EQ(TournamentData[[#This Row],[Max Robot Game Score]],TournamentData[Max Robot Game Score]))</f>
        <v/>
      </c>
      <c r="J108"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8"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8"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8"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8" s="43" t="str">
        <f>IF(TournamentData[[#This Row],[Team Number]]="","",IF(M108,RANK(M108,M$3:M$110,1)-COUNTIF(M$3:M$110,0),NumberOfTeams+1))</f>
        <v/>
      </c>
      <c r="O108" s="50">
        <f>IF(ISNA(INDEX(CoreValuesResults[Breakthrough Selection],MATCH(TournamentData[[#This Row],[Team Number]],CoreValuesResults[Team Number],0))),0, INDEX(CoreValuesResults[Breakthrough Selection],MATCH(TournamentData[[#This Row],[Team Number]],CoreValuesResults[Team Number],0)))</f>
        <v>0</v>
      </c>
      <c r="P108" s="50">
        <f>IF(ISNA(INDEX(CoreValuesResults[Rising All-Star Selection],MATCH(TournamentData[[#This Row],[Team Number]],CoreValuesResults[Team Number],0))),0, INDEX(CoreValuesResults[Rising All-Star Selection],MATCH(TournamentData[[#This Row],[Team Number]],CoreValuesResults[Team Number],0)))</f>
        <v>0</v>
      </c>
      <c r="Q108" s="50">
        <f>IF(ISNA(INDEX(CoreValuesResults[Motivate Selection],MATCH(TournamentData[[#This Row],[Team Number]],CoreValuesResults[Team Number],0))),0, INDEX(CoreValuesResults[Motivate Selection],MATCH(TournamentData[[#This Row],[Team Number]],CoreValuesResults[Team Number],0)))</f>
        <v>0</v>
      </c>
      <c r="T108" s="46"/>
      <c r="U108" s="40">
        <f>IF(ISNA(INDEX(CoreValuesResults[Core Values Score],MATCH(TournamentData[[#This Row],[Team Number]],CoreValuesResults[Team Number],0))),0,INDEX(CoreValuesResults[Core Values Score],MATCH(TournamentData[[#This Row],[Team Number]],CoreValuesResults[Team Number],0)))</f>
        <v>0</v>
      </c>
      <c r="V108"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8" s="40">
        <f>IF(ISNA(INDEX(RobotDesignResults[Robot Design Score],MATCH(TournamentData[[#This Row],[Team Number]],RobotDesignResults[Team Number],0))),0,INDEX(RobotDesignResults[Robot Design Score],MATCH(TournamentData[[#This Row],[Team Number]],RobotDesignResults[Team Number],0)))</f>
        <v>0</v>
      </c>
      <c r="X108"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8" s="48">
        <f t="shared" si="3"/>
        <v>0</v>
      </c>
      <c r="AC108" s="72"/>
      <c r="AD108" s="49"/>
      <c r="AE108" s="46"/>
    </row>
    <row r="109" spans="1:34" s="45" customFormat="1" ht="20.25" customHeight="1" x14ac:dyDescent="0.3">
      <c r="A109" s="40"/>
      <c r="B109" s="41" t="str">
        <f>IF(ISNA(INDEX(OfficialTeamList[Team Name],MATCH(TournamentData[[#This Row],[Team Number]], OfficialTeamList[Team Number],0))),"",INDEX(OfficialTeamList[Team Name],MATCH(TournamentData[[#This Row],[Team Number]], OfficialTeamList[Team Number],0)))</f>
        <v/>
      </c>
      <c r="C109" s="42" t="str">
        <f>IF(TournamentData[[#This Row],[Team Number]]="","",IF(ISNA(INDEX('Robot Game Scores'!C:C,MATCH(TournamentData[[#This Row],[Team Number]], 'Robot Game Scores'!$B:$B,0))),0,INDEX('Robot Game Scores'!C:C,MATCH(TournamentData[[#This Row],[Team Number]], 'Robot Game Scores'!$B:$B,0))))</f>
        <v/>
      </c>
      <c r="D109" s="42" t="str">
        <f>IF(TournamentData[[#This Row],[Team Number]]="","",IF(ISNA(INDEX('Robot Game Scores'!D:D,MATCH(TournamentData[[#This Row],[Team Number]], 'Robot Game Scores'!$B:$B,0))),0,INDEX('Robot Game Scores'!D:D,MATCH(TournamentData[[#This Row],[Team Number]], 'Robot Game Scores'!$B:$B,0))))</f>
        <v/>
      </c>
      <c r="E109" s="42" t="str">
        <f>IF(TournamentData[[#This Row],[Team Number]]="","",IF(ISNA(INDEX('Robot Game Scores'!E:E,MATCH(TournamentData[[#This Row],[Team Number]], 'Robot Game Scores'!$B:$B,0))),0,INDEX('Robot Game Scores'!E:E,MATCH(TournamentData[[#This Row],[Team Number]], 'Robot Game Scores'!$B:$B,0))))</f>
        <v/>
      </c>
      <c r="F109" s="42" t="str">
        <f>IF(TournamentData[[#This Row],[Team Number]]="","",IF(ISNA(INDEX('Robot Game Scores'!F:F,MATCH(TournamentData[[#This Row],[Team Number]], 'Robot Game Scores'!$B:$B,0))),0,INDEX('Robot Game Scores'!F:F,MATCH(TournamentData[[#This Row],[Team Number]], 'Robot Game Scores'!$B:$B,0))))</f>
        <v/>
      </c>
      <c r="G109" s="42" t="str">
        <f>IF(TournamentData[[#This Row],[Team Number]]="","",IF(ISNA(INDEX('Robot Game Scores'!G:G,MATCH(TournamentData[[#This Row],[Team Number]], 'Robot Game Scores'!$B:$B,0))),0,INDEX('Robot Game Scores'!G:G,MATCH(TournamentData[[#This Row],[Team Number]], 'Robot Game Scores'!$B:$B,0))))</f>
        <v/>
      </c>
      <c r="H109"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9" s="42" t="str">
        <f>IF(TournamentData[[#This Row],[Team Number]]="","",_xlfn.RANK.EQ(TournamentData[[#This Row],[Max Robot Game Score]],TournamentData[Max Robot Game Score]))</f>
        <v/>
      </c>
      <c r="J109"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09"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9"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9"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9" s="43" t="str">
        <f>IF(TournamentData[[#This Row],[Team Number]]="","",IF(M109,RANK(M109,M$3:M$110,1)-COUNTIF(M$3:M$110,0),NumberOfTeams+1))</f>
        <v/>
      </c>
      <c r="O109" s="50">
        <f>IF(ISNA(INDEX(CoreValuesResults[Breakthrough Selection],MATCH(TournamentData[[#This Row],[Team Number]],CoreValuesResults[Team Number],0))),0, INDEX(CoreValuesResults[Breakthrough Selection],MATCH(TournamentData[[#This Row],[Team Number]],CoreValuesResults[Team Number],0)))</f>
        <v>0</v>
      </c>
      <c r="P109" s="50">
        <f>IF(ISNA(INDEX(CoreValuesResults[Rising All-Star Selection],MATCH(TournamentData[[#This Row],[Team Number]],CoreValuesResults[Team Number],0))),0, INDEX(CoreValuesResults[Rising All-Star Selection],MATCH(TournamentData[[#This Row],[Team Number]],CoreValuesResults[Team Number],0)))</f>
        <v>0</v>
      </c>
      <c r="Q109" s="50">
        <f>IF(ISNA(INDEX(CoreValuesResults[Motivate Selection],MATCH(TournamentData[[#This Row],[Team Number]],CoreValuesResults[Team Number],0))),0, INDEX(CoreValuesResults[Motivate Selection],MATCH(TournamentData[[#This Row],[Team Number]],CoreValuesResults[Team Number],0)))</f>
        <v>0</v>
      </c>
      <c r="T109" s="46"/>
      <c r="U109" s="40">
        <f>IF(ISNA(INDEX(CoreValuesResults[Core Values Score],MATCH(TournamentData[[#This Row],[Team Number]],CoreValuesResults[Team Number],0))),0,INDEX(CoreValuesResults[Core Values Score],MATCH(TournamentData[[#This Row],[Team Number]],CoreValuesResults[Team Number],0)))</f>
        <v>0</v>
      </c>
      <c r="V109"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09" s="40">
        <f>IF(ISNA(INDEX(RobotDesignResults[Robot Design Score],MATCH(TournamentData[[#This Row],[Team Number]],RobotDesignResults[Team Number],0))),0,INDEX(RobotDesignResults[Robot Design Score],MATCH(TournamentData[[#This Row],[Team Number]],RobotDesignResults[Team Number],0)))</f>
        <v>0</v>
      </c>
      <c r="X109"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09" s="48">
        <f t="shared" si="3"/>
        <v>0</v>
      </c>
      <c r="AC109" s="72"/>
      <c r="AD109" s="49"/>
      <c r="AE109" s="46"/>
    </row>
    <row r="110" spans="1:34" s="45" customFormat="1" ht="20.25" customHeight="1" x14ac:dyDescent="0.3">
      <c r="A110" s="40"/>
      <c r="B110" s="41" t="str">
        <f>IF(ISNA(INDEX(OfficialTeamList[Team Name],MATCH(TournamentData[[#This Row],[Team Number]], OfficialTeamList[Team Number],0))),"",INDEX(OfficialTeamList[Team Name],MATCH(TournamentData[[#This Row],[Team Number]], OfficialTeamList[Team Number],0)))</f>
        <v/>
      </c>
      <c r="C110" s="42" t="str">
        <f>IF(TournamentData[[#This Row],[Team Number]]="","",IF(ISNA(INDEX('Robot Game Scores'!C:C,MATCH(TournamentData[[#This Row],[Team Number]], 'Robot Game Scores'!$B:$B,0))),0,INDEX('Robot Game Scores'!C:C,MATCH(TournamentData[[#This Row],[Team Number]], 'Robot Game Scores'!$B:$B,0))))</f>
        <v/>
      </c>
      <c r="D110" s="42" t="str">
        <f>IF(TournamentData[[#This Row],[Team Number]]="","",IF(ISNA(INDEX('Robot Game Scores'!D:D,MATCH(TournamentData[[#This Row],[Team Number]], 'Robot Game Scores'!$B:$B,0))),0,INDEX('Robot Game Scores'!D:D,MATCH(TournamentData[[#This Row],[Team Number]], 'Robot Game Scores'!$B:$B,0))))</f>
        <v/>
      </c>
      <c r="E110" s="42" t="str">
        <f>IF(TournamentData[[#This Row],[Team Number]]="","",IF(ISNA(INDEX('Robot Game Scores'!E:E,MATCH(TournamentData[[#This Row],[Team Number]], 'Robot Game Scores'!$B:$B,0))),0,INDEX('Robot Game Scores'!E:E,MATCH(TournamentData[[#This Row],[Team Number]], 'Robot Game Scores'!$B:$B,0))))</f>
        <v/>
      </c>
      <c r="F110" s="42" t="str">
        <f>IF(TournamentData[[#This Row],[Team Number]]="","",IF(ISNA(INDEX('Robot Game Scores'!F:F,MATCH(TournamentData[[#This Row],[Team Number]], 'Robot Game Scores'!$B:$B,0))),0,INDEX('Robot Game Scores'!F:F,MATCH(TournamentData[[#This Row],[Team Number]], 'Robot Game Scores'!$B:$B,0))))</f>
        <v/>
      </c>
      <c r="G110" s="42" t="str">
        <f>IF(TournamentData[[#This Row],[Team Number]]="","",IF(ISNA(INDEX('Robot Game Scores'!G:G,MATCH(TournamentData[[#This Row],[Team Number]], 'Robot Game Scores'!$B:$B,0))),0,INDEX('Robot Game Scores'!G:G,MATCH(TournamentData[[#This Row],[Team Number]], 'Robot Game Scores'!$B:$B,0))))</f>
        <v/>
      </c>
      <c r="H110" s="42" t="str">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10" s="42" t="str">
        <f>IF(TournamentData[[#This Row],[Team Number]]="","",_xlfn.RANK.EQ(TournamentData[[#This Row],[Max Robot Game Score]],TournamentData[Max Robot Game Score]))</f>
        <v/>
      </c>
      <c r="J110" s="42" t="str">
        <f>IF(TournamentData[[#This Row],[Team Number]]="","",IF(ISNA(INDEX(CoreValuesResults[Core Values Rank],MATCH(TournamentData[[#This Row],[Team Number]],CoreValuesResults[Team Number],0))),NumberOfTeams+1,INDEX(CoreValuesResults[Core Values Rank],MATCH(TournamentData[[#This Row],[Team Number]],CoreValuesResults[Team Number],0))))</f>
        <v/>
      </c>
      <c r="K110" s="42" t="str">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10" s="42" t="str">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10" s="42" t="str">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10" s="43" t="str">
        <f>IF(TournamentData[[#This Row],[Team Number]]="","",IF(M110,RANK(M110,M$3:M$110,1)-COUNTIF(M$3:M$110,0),NumberOfTeams+1))</f>
        <v/>
      </c>
      <c r="O110" s="50">
        <f>IF(ISNA(INDEX(CoreValuesResults[Breakthrough Selection],MATCH(TournamentData[[#This Row],[Team Number]],CoreValuesResults[Team Number],0))),0, INDEX(CoreValuesResults[Breakthrough Selection],MATCH(TournamentData[[#This Row],[Team Number]],CoreValuesResults[Team Number],0)))</f>
        <v>0</v>
      </c>
      <c r="P110" s="50">
        <f>IF(ISNA(INDEX(CoreValuesResults[Rising All-Star Selection],MATCH(TournamentData[[#This Row],[Team Number]],CoreValuesResults[Team Number],0))),0, INDEX(CoreValuesResults[Rising All-Star Selection],MATCH(TournamentData[[#This Row],[Team Number]],CoreValuesResults[Team Number],0)))</f>
        <v>0</v>
      </c>
      <c r="Q110" s="50">
        <f>IF(ISNA(INDEX(CoreValuesResults[Motivate Selection],MATCH(TournamentData[[#This Row],[Team Number]],CoreValuesResults[Team Number],0))),0, INDEX(CoreValuesResults[Motivate Selection],MATCH(TournamentData[[#This Row],[Team Number]],CoreValuesResults[Team Number],0)))</f>
        <v>0</v>
      </c>
      <c r="T110" s="46"/>
      <c r="U110" s="40">
        <f>IF(ISNA(INDEX(CoreValuesResults[Core Values Score],MATCH(TournamentData[[#This Row],[Team Number]],CoreValuesResults[Team Number],0))),0,INDEX(CoreValuesResults[Core Values Score],MATCH(TournamentData[[#This Row],[Team Number]],CoreValuesResults[Team Number],0)))</f>
        <v>0</v>
      </c>
      <c r="V110" s="40">
        <f>IF(ISNA(INDEX(InnovationProjectResults[Innovation Project Score],MATCH(TournamentData[[#This Row],[Team Number]],InnovationProjectResults[Team Number],0))),0,INDEX(InnovationProjectResults[Innovation Project Score],MATCH(TournamentData[[#This Row],[Team Number]],InnovationProjectResults[Team Number],0)))</f>
        <v>0</v>
      </c>
      <c r="W110" s="40">
        <f>IF(ISNA(INDEX(RobotDesignResults[Robot Design Score],MATCH(TournamentData[[#This Row],[Team Number]],RobotDesignResults[Team Number],0))),0,INDEX(RobotDesignResults[Robot Design Score],MATCH(TournamentData[[#This Row],[Team Number]],RobotDesignResults[Team Number],0)))</f>
        <v>0</v>
      </c>
      <c r="X110" s="4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Y110" s="48">
        <f t="shared" si="3"/>
        <v>0</v>
      </c>
      <c r="AC110" s="72"/>
      <c r="AD110" s="51"/>
      <c r="AF110" s="46"/>
      <c r="AG110" s="46"/>
      <c r="AH110" s="46"/>
    </row>
  </sheetData>
  <sheetProtection selectLockedCells="1" sort="0" autoFilter="0"/>
  <protectedRanges>
    <protectedRange sqref="A1:B2 O1:XFD2 B111:B1048576 F111:Y1048576 B1:Q110" name="ResultsSort"/>
  </protectedRanges>
  <mergeCells count="6">
    <mergeCell ref="U1:Y1"/>
    <mergeCell ref="A1:B1"/>
    <mergeCell ref="J1:L1"/>
    <mergeCell ref="R1:T1"/>
    <mergeCell ref="M1:Q1"/>
    <mergeCell ref="C1:I1"/>
  </mergeCells>
  <conditionalFormatting sqref="A3:Z110">
    <cfRule type="expression" dxfId="164" priority="15">
      <formula>ROW()-NumberOfTeams=2</formula>
    </cfRule>
  </conditionalFormatting>
  <conditionalFormatting sqref="O3:Q110">
    <cfRule type="cellIs" dxfId="163" priority="12" operator="greaterThan">
      <formula>0</formula>
    </cfRule>
  </conditionalFormatting>
  <conditionalFormatting sqref="A3:A110">
    <cfRule type="expression" dxfId="162" priority="6">
      <formula>IF($N3 &lt;= NumberofTeamsAdvancing,TRUE,FALSE)</formula>
    </cfRule>
  </conditionalFormatting>
  <conditionalFormatting sqref="T3:T101">
    <cfRule type="cellIs" dxfId="161" priority="5" operator="equal">
      <formula>"Yes"</formula>
    </cfRule>
  </conditionalFormatting>
  <conditionalFormatting sqref="T2">
    <cfRule type="expression" dxfId="160" priority="1">
      <formula>IF(COUNTIF($T:$T,"=Yes")&lt;&gt;NumberofTeamsAdvancing,1,0)</formula>
    </cfRule>
  </conditionalFormatting>
  <conditionalFormatting sqref="I1:I1048576">
    <cfRule type="cellIs" dxfId="159" priority="7" operator="equal">
      <formula>3</formula>
    </cfRule>
    <cfRule type="cellIs" dxfId="158" priority="10" operator="equal">
      <formula>2</formula>
    </cfRule>
    <cfRule type="cellIs" dxfId="157" priority="11" operator="equal">
      <formula>1</formula>
    </cfRule>
  </conditionalFormatting>
  <conditionalFormatting sqref="B3:Z110">
    <cfRule type="expression" dxfId="156" priority="25">
      <formula>IF($R3&lt;&gt;"",TRUE,FALSE)</formula>
    </cfRule>
  </conditionalFormatting>
  <dataValidations count="3">
    <dataValidation type="list" allowBlank="1" showInputMessage="1" showErrorMessage="1" sqref="T3:T110" xr:uid="{00000000-0002-0000-0200-000000000000}">
      <formula1>"Yes, No"</formula1>
    </dataValidation>
    <dataValidation type="list" allowBlank="1" showInputMessage="1" showErrorMessage="1" sqref="S3:S110" xr:uid="{00000000-0002-0000-0200-000001000000}">
      <formula1>$AE$2:$AE$6</formula1>
    </dataValidation>
    <dataValidation type="list" allowBlank="1" showInputMessage="1" showErrorMessage="1" sqref="R3:R110" xr:uid="{00000000-0002-0000-0200-000002000000}">
      <formula1>$AC$2:$AC$10</formula1>
    </dataValidation>
  </dataValidations>
  <pageMargins left="0.7" right="0.7" top="0.75" bottom="0.75" header="0.3" footer="0.3"/>
  <pageSetup scale="41"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16DB6"/>
    <pageSetUpPr fitToPage="1"/>
  </sheetPr>
  <dimension ref="A1:P109"/>
  <sheetViews>
    <sheetView showZeros="0" zoomScaleNormal="100" zoomScalePageLayoutView="130" workbookViewId="0">
      <selection activeCell="L2" sqref="L2"/>
    </sheetView>
  </sheetViews>
  <sheetFormatPr defaultColWidth="8.44140625" defaultRowHeight="30" customHeight="1" x14ac:dyDescent="0.3"/>
  <cols>
    <col min="1" max="1" width="15.44140625" customWidth="1"/>
    <col min="2" max="2" width="32.44140625" customWidth="1"/>
    <col min="3" max="12" width="7.44140625" customWidth="1"/>
    <col min="13" max="13" width="10.44140625" customWidth="1"/>
    <col min="14" max="14" width="15.44140625" customWidth="1"/>
    <col min="15" max="15" width="10.44140625" style="64" hidden="1" customWidth="1"/>
    <col min="16" max="16" width="8.44140625" style="84"/>
  </cols>
  <sheetData>
    <row r="1" spans="1:15" ht="170.25" customHeight="1" x14ac:dyDescent="0.3">
      <c r="A1" s="52" t="s">
        <v>9</v>
      </c>
      <c r="B1" s="53" t="s">
        <v>10</v>
      </c>
      <c r="C1" s="58" t="s">
        <v>113</v>
      </c>
      <c r="D1" s="58" t="s">
        <v>115</v>
      </c>
      <c r="E1" s="58" t="s">
        <v>101</v>
      </c>
      <c r="F1" s="58" t="s">
        <v>116</v>
      </c>
      <c r="G1" s="58" t="s">
        <v>117</v>
      </c>
      <c r="H1" s="58" t="s">
        <v>77</v>
      </c>
      <c r="I1" s="58" t="s">
        <v>78</v>
      </c>
      <c r="J1" s="58" t="s">
        <v>114</v>
      </c>
      <c r="K1" s="58" t="s">
        <v>118</v>
      </c>
      <c r="L1" s="58" t="s">
        <v>119</v>
      </c>
      <c r="M1" s="59" t="s">
        <v>79</v>
      </c>
      <c r="N1" s="60" t="s">
        <v>31</v>
      </c>
      <c r="O1" s="62" t="s">
        <v>80</v>
      </c>
    </row>
    <row r="2" spans="1:15" ht="30" customHeight="1" x14ac:dyDescent="0.3">
      <c r="A2" s="115"/>
      <c r="B2" s="116" t="str">
        <f>IF(ISNA(INDEX(OfficialTeamList[Team Name],MATCH(InnovationProjectResults[[#This Row],[Team Number]], OfficialTeamList[Team Number],0))),"",INDEX(OfficialTeamList[Team Name],MATCH(InnovationProjectResults[[#This Row],[Team Number]], OfficialTeamList[Team Number],0)))</f>
        <v/>
      </c>
      <c r="C2" s="115"/>
      <c r="D2" s="115"/>
      <c r="E2" s="115"/>
      <c r="F2" s="115"/>
      <c r="G2" s="115"/>
      <c r="H2" s="115"/>
      <c r="I2" s="115"/>
      <c r="J2" s="115"/>
      <c r="K2" s="115"/>
      <c r="L2" s="115"/>
      <c r="M2" s="61">
        <f>SUM(InnovationProjectResults[[#This Row],[Identify - Define]:[Communicate - Fun (CV)]])</f>
        <v>0</v>
      </c>
      <c r="N2" s="56">
        <f>IF(InnovationProjectResults[[#This Row],[Team Number]]&gt;0,MIN(_xlfn.RANK.EQ(InnovationProjectResults[[#This Row],[Innovation Project Score]],InnovationProjectResults[Innovation Project Score],0),NumberOfTeams),NumberOfTeams+1)</f>
        <v>1</v>
      </c>
      <c r="O2" s="63">
        <f>SUM(InnovationProjectResults[[#This Row],[Design - Teamwork (CV)]:[Iterate - Sharing]])</f>
        <v>0</v>
      </c>
    </row>
    <row r="3" spans="1:15" ht="30" customHeight="1" x14ac:dyDescent="0.3">
      <c r="A3" s="115"/>
      <c r="B3" s="116" t="str">
        <f>IF(ISNA(INDEX(OfficialTeamList[Team Name],MATCH(InnovationProjectResults[[#This Row],[Team Number]], OfficialTeamList[Team Number],0))),"",INDEX(OfficialTeamList[Team Name],MATCH(InnovationProjectResults[[#This Row],[Team Number]], OfficialTeamList[Team Number],0)))</f>
        <v/>
      </c>
      <c r="C3" s="115"/>
      <c r="D3" s="115"/>
      <c r="E3" s="115"/>
      <c r="F3" s="115"/>
      <c r="G3" s="115"/>
      <c r="H3" s="115"/>
      <c r="I3" s="115"/>
      <c r="J3" s="115"/>
      <c r="K3" s="115"/>
      <c r="L3" s="115"/>
      <c r="M3" s="61">
        <f>SUM(InnovationProjectResults[[#This Row],[Identify - Define]:[Communicate - Fun (CV)]])</f>
        <v>0</v>
      </c>
      <c r="N3" s="56">
        <f>IF(InnovationProjectResults[[#This Row],[Team Number]]&gt;0,MIN(_xlfn.RANK.EQ(InnovationProjectResults[[#This Row],[Innovation Project Score]],InnovationProjectResults[Innovation Project Score],0),NumberOfTeams),NumberOfTeams+1)</f>
        <v>1</v>
      </c>
      <c r="O3" s="63">
        <f>SUM(InnovationProjectResults[[#This Row],[Design - Teamwork (CV)]:[Iterate - Sharing]])</f>
        <v>0</v>
      </c>
    </row>
    <row r="4" spans="1:15" ht="30" customHeight="1" x14ac:dyDescent="0.3">
      <c r="A4" s="115"/>
      <c r="B4" s="116" t="str">
        <f>IF(ISNA(INDEX(OfficialTeamList[Team Name],MATCH(InnovationProjectResults[[#This Row],[Team Number]], OfficialTeamList[Team Number],0))),"",INDEX(OfficialTeamList[Team Name],MATCH(InnovationProjectResults[[#This Row],[Team Number]], OfficialTeamList[Team Number],0)))</f>
        <v/>
      </c>
      <c r="C4" s="115"/>
      <c r="D4" s="115"/>
      <c r="E4" s="115"/>
      <c r="F4" s="115"/>
      <c r="G4" s="115"/>
      <c r="H4" s="115"/>
      <c r="I4" s="115"/>
      <c r="J4" s="115"/>
      <c r="K4" s="115"/>
      <c r="L4" s="115"/>
      <c r="M4" s="61">
        <f>SUM(InnovationProjectResults[[#This Row],[Identify - Define]:[Communicate - Fun (CV)]])</f>
        <v>0</v>
      </c>
      <c r="N4" s="56">
        <f>IF(InnovationProjectResults[[#This Row],[Team Number]]&gt;0,MIN(_xlfn.RANK.EQ(InnovationProjectResults[[#This Row],[Innovation Project Score]],InnovationProjectResults[Innovation Project Score],0),NumberOfTeams),NumberOfTeams+1)</f>
        <v>1</v>
      </c>
      <c r="O4" s="63">
        <f>SUM(InnovationProjectResults[[#This Row],[Design - Teamwork (CV)]:[Iterate - Sharing]])</f>
        <v>0</v>
      </c>
    </row>
    <row r="5" spans="1:15" ht="30" customHeight="1" x14ac:dyDescent="0.3">
      <c r="A5" s="115"/>
      <c r="B5" s="116" t="str">
        <f>IF(ISNA(INDEX(OfficialTeamList[Team Name],MATCH(InnovationProjectResults[[#This Row],[Team Number]], OfficialTeamList[Team Number],0))),"",INDEX(OfficialTeamList[Team Name],MATCH(InnovationProjectResults[[#This Row],[Team Number]], OfficialTeamList[Team Number],0)))</f>
        <v/>
      </c>
      <c r="C5" s="115"/>
      <c r="D5" s="115"/>
      <c r="E5" s="115"/>
      <c r="F5" s="115"/>
      <c r="G5" s="115"/>
      <c r="H5" s="115"/>
      <c r="I5" s="115"/>
      <c r="J5" s="115"/>
      <c r="K5" s="115"/>
      <c r="L5" s="115"/>
      <c r="M5" s="61">
        <f>SUM(InnovationProjectResults[[#This Row],[Identify - Define]:[Communicate - Fun (CV)]])</f>
        <v>0</v>
      </c>
      <c r="N5" s="56">
        <f>IF(InnovationProjectResults[[#This Row],[Team Number]]&gt;0,MIN(_xlfn.RANK.EQ(InnovationProjectResults[[#This Row],[Innovation Project Score]],InnovationProjectResults[Innovation Project Score],0),NumberOfTeams),NumberOfTeams+1)</f>
        <v>1</v>
      </c>
      <c r="O5" s="63">
        <f>SUM(InnovationProjectResults[[#This Row],[Design - Teamwork (CV)]:[Iterate - Sharing]])</f>
        <v>0</v>
      </c>
    </row>
    <row r="6" spans="1:15" ht="30" customHeight="1" x14ac:dyDescent="0.3">
      <c r="A6" s="115"/>
      <c r="B6" s="116" t="str">
        <f>IF(ISNA(INDEX(OfficialTeamList[Team Name],MATCH(InnovationProjectResults[[#This Row],[Team Number]], OfficialTeamList[Team Number],0))),"",INDEX(OfficialTeamList[Team Name],MATCH(InnovationProjectResults[[#This Row],[Team Number]], OfficialTeamList[Team Number],0)))</f>
        <v/>
      </c>
      <c r="C6" s="115"/>
      <c r="D6" s="115"/>
      <c r="E6" s="115"/>
      <c r="F6" s="115"/>
      <c r="G6" s="115"/>
      <c r="H6" s="115"/>
      <c r="I6" s="115"/>
      <c r="J6" s="115"/>
      <c r="K6" s="115"/>
      <c r="L6" s="115"/>
      <c r="M6" s="61">
        <f>SUM(InnovationProjectResults[[#This Row],[Identify - Define]:[Communicate - Fun (CV)]])</f>
        <v>0</v>
      </c>
      <c r="N6" s="56">
        <f>IF(InnovationProjectResults[[#This Row],[Team Number]]&gt;0,MIN(_xlfn.RANK.EQ(InnovationProjectResults[[#This Row],[Innovation Project Score]],InnovationProjectResults[Innovation Project Score],0),NumberOfTeams),NumberOfTeams+1)</f>
        <v>1</v>
      </c>
      <c r="O6" s="63">
        <f>SUM(InnovationProjectResults[[#This Row],[Design - Teamwork (CV)]:[Iterate - Sharing]])</f>
        <v>0</v>
      </c>
    </row>
    <row r="7" spans="1:15" ht="30" customHeight="1" x14ac:dyDescent="0.3">
      <c r="A7" s="115"/>
      <c r="B7" s="116" t="str">
        <f>IF(ISNA(INDEX(OfficialTeamList[Team Name],MATCH(InnovationProjectResults[[#This Row],[Team Number]], OfficialTeamList[Team Number],0))),"",INDEX(OfficialTeamList[Team Name],MATCH(InnovationProjectResults[[#This Row],[Team Number]], OfficialTeamList[Team Number],0)))</f>
        <v/>
      </c>
      <c r="C7" s="115"/>
      <c r="D7" s="115"/>
      <c r="E7" s="115"/>
      <c r="F7" s="115"/>
      <c r="G7" s="115"/>
      <c r="H7" s="115"/>
      <c r="I7" s="115"/>
      <c r="J7" s="115"/>
      <c r="K7" s="115"/>
      <c r="L7" s="115"/>
      <c r="M7" s="61">
        <f>SUM(InnovationProjectResults[[#This Row],[Identify - Define]:[Communicate - Fun (CV)]])</f>
        <v>0</v>
      </c>
      <c r="N7" s="56">
        <f>IF(InnovationProjectResults[[#This Row],[Team Number]]&gt;0,MIN(_xlfn.RANK.EQ(InnovationProjectResults[[#This Row],[Innovation Project Score]],InnovationProjectResults[Innovation Project Score],0),NumberOfTeams),NumberOfTeams+1)</f>
        <v>1</v>
      </c>
      <c r="O7" s="63">
        <f>SUM(InnovationProjectResults[[#This Row],[Design - Teamwork (CV)]:[Iterate - Sharing]])</f>
        <v>0</v>
      </c>
    </row>
    <row r="8" spans="1:15" ht="30" customHeight="1" x14ac:dyDescent="0.3">
      <c r="A8" s="115"/>
      <c r="B8" s="116" t="str">
        <f>IF(ISNA(INDEX(OfficialTeamList[Team Name],MATCH(InnovationProjectResults[[#This Row],[Team Number]], OfficialTeamList[Team Number],0))),"",INDEX(OfficialTeamList[Team Name],MATCH(InnovationProjectResults[[#This Row],[Team Number]], OfficialTeamList[Team Number],0)))</f>
        <v/>
      </c>
      <c r="C8" s="115"/>
      <c r="D8" s="115"/>
      <c r="E8" s="115"/>
      <c r="F8" s="115"/>
      <c r="G8" s="115"/>
      <c r="H8" s="115"/>
      <c r="I8" s="115"/>
      <c r="J8" s="115"/>
      <c r="K8" s="115"/>
      <c r="L8" s="115"/>
      <c r="M8" s="61">
        <f>SUM(InnovationProjectResults[[#This Row],[Identify - Define]:[Communicate - Fun (CV)]])</f>
        <v>0</v>
      </c>
      <c r="N8" s="56">
        <f>IF(InnovationProjectResults[[#This Row],[Team Number]]&gt;0,MIN(_xlfn.RANK.EQ(InnovationProjectResults[[#This Row],[Innovation Project Score]],InnovationProjectResults[Innovation Project Score],0),NumberOfTeams),NumberOfTeams+1)</f>
        <v>1</v>
      </c>
      <c r="O8" s="63">
        <f>SUM(InnovationProjectResults[[#This Row],[Design - Teamwork (CV)]:[Iterate - Sharing]])</f>
        <v>0</v>
      </c>
    </row>
    <row r="9" spans="1:15" ht="30" customHeight="1" x14ac:dyDescent="0.3">
      <c r="A9" s="115"/>
      <c r="B9" s="116" t="str">
        <f>IF(ISNA(INDEX(OfficialTeamList[Team Name],MATCH(InnovationProjectResults[[#This Row],[Team Number]], OfficialTeamList[Team Number],0))),"",INDEX(OfficialTeamList[Team Name],MATCH(InnovationProjectResults[[#This Row],[Team Number]], OfficialTeamList[Team Number],0)))</f>
        <v/>
      </c>
      <c r="C9" s="115"/>
      <c r="D9" s="115"/>
      <c r="E9" s="115"/>
      <c r="F9" s="115"/>
      <c r="G9" s="115"/>
      <c r="H9" s="115"/>
      <c r="I9" s="115"/>
      <c r="J9" s="115"/>
      <c r="K9" s="115"/>
      <c r="L9" s="115"/>
      <c r="M9" s="61">
        <f>SUM(InnovationProjectResults[[#This Row],[Identify - Define]:[Communicate - Fun (CV)]])</f>
        <v>0</v>
      </c>
      <c r="N9" s="56">
        <f>IF(InnovationProjectResults[[#This Row],[Team Number]]&gt;0,MIN(_xlfn.RANK.EQ(InnovationProjectResults[[#This Row],[Innovation Project Score]],InnovationProjectResults[Innovation Project Score],0),NumberOfTeams),NumberOfTeams+1)</f>
        <v>1</v>
      </c>
      <c r="O9" s="63">
        <f>SUM(InnovationProjectResults[[#This Row],[Design - Teamwork (CV)]:[Iterate - Sharing]])</f>
        <v>0</v>
      </c>
    </row>
    <row r="10" spans="1:15" ht="30" customHeight="1" x14ac:dyDescent="0.3">
      <c r="A10" s="115"/>
      <c r="B10" s="116" t="str">
        <f>IF(ISNA(INDEX(OfficialTeamList[Team Name],MATCH(InnovationProjectResults[[#This Row],[Team Number]], OfficialTeamList[Team Number],0))),"",INDEX(OfficialTeamList[Team Name],MATCH(InnovationProjectResults[[#This Row],[Team Number]], OfficialTeamList[Team Number],0)))</f>
        <v/>
      </c>
      <c r="C10" s="115"/>
      <c r="D10" s="115"/>
      <c r="E10" s="115"/>
      <c r="F10" s="115"/>
      <c r="G10" s="115"/>
      <c r="H10" s="115"/>
      <c r="I10" s="115"/>
      <c r="J10" s="115"/>
      <c r="K10" s="115"/>
      <c r="L10" s="115"/>
      <c r="M10" s="61">
        <f>SUM(InnovationProjectResults[[#This Row],[Identify - Define]:[Communicate - Fun (CV)]])</f>
        <v>0</v>
      </c>
      <c r="N10" s="56">
        <f>IF(InnovationProjectResults[[#This Row],[Team Number]]&gt;0,MIN(_xlfn.RANK.EQ(InnovationProjectResults[[#This Row],[Innovation Project Score]],InnovationProjectResults[Innovation Project Score],0),NumberOfTeams),NumberOfTeams+1)</f>
        <v>1</v>
      </c>
      <c r="O10" s="63">
        <f>SUM(InnovationProjectResults[[#This Row],[Design - Teamwork (CV)]:[Iterate - Sharing]])</f>
        <v>0</v>
      </c>
    </row>
    <row r="11" spans="1:15" ht="30" customHeight="1" x14ac:dyDescent="0.3">
      <c r="A11" s="115"/>
      <c r="B11" s="116" t="str">
        <f>IF(ISNA(INDEX(OfficialTeamList[Team Name],MATCH(InnovationProjectResults[[#This Row],[Team Number]], OfficialTeamList[Team Number],0))),"",INDEX(OfficialTeamList[Team Name],MATCH(InnovationProjectResults[[#This Row],[Team Number]], OfficialTeamList[Team Number],0)))</f>
        <v/>
      </c>
      <c r="C11" s="115"/>
      <c r="D11" s="115"/>
      <c r="E11" s="115"/>
      <c r="F11" s="115"/>
      <c r="G11" s="115"/>
      <c r="H11" s="115"/>
      <c r="I11" s="115"/>
      <c r="J11" s="115"/>
      <c r="K11" s="115"/>
      <c r="L11" s="115"/>
      <c r="M11" s="61">
        <f>SUM(InnovationProjectResults[[#This Row],[Identify - Define]:[Communicate - Fun (CV)]])</f>
        <v>0</v>
      </c>
      <c r="N11" s="56">
        <f>IF(InnovationProjectResults[[#This Row],[Team Number]]&gt;0,MIN(_xlfn.RANK.EQ(InnovationProjectResults[[#This Row],[Innovation Project Score]],InnovationProjectResults[Innovation Project Score],0),NumberOfTeams),NumberOfTeams+1)</f>
        <v>1</v>
      </c>
      <c r="O11" s="63">
        <f>SUM(InnovationProjectResults[[#This Row],[Design - Teamwork (CV)]:[Iterate - Sharing]])</f>
        <v>0</v>
      </c>
    </row>
    <row r="12" spans="1:15" ht="30" customHeight="1" x14ac:dyDescent="0.3">
      <c r="A12" s="115"/>
      <c r="B12" s="116" t="str">
        <f>IF(ISNA(INDEX(OfficialTeamList[Team Name],MATCH(InnovationProjectResults[[#This Row],[Team Number]], OfficialTeamList[Team Number],0))),"",INDEX(OfficialTeamList[Team Name],MATCH(InnovationProjectResults[[#This Row],[Team Number]], OfficialTeamList[Team Number],0)))</f>
        <v/>
      </c>
      <c r="C12" s="115"/>
      <c r="D12" s="115"/>
      <c r="E12" s="115"/>
      <c r="F12" s="115"/>
      <c r="G12" s="115"/>
      <c r="H12" s="115"/>
      <c r="I12" s="115"/>
      <c r="J12" s="115"/>
      <c r="K12" s="115"/>
      <c r="L12" s="115"/>
      <c r="M12" s="61">
        <f>SUM(InnovationProjectResults[[#This Row],[Identify - Define]:[Communicate - Fun (CV)]])</f>
        <v>0</v>
      </c>
      <c r="N12" s="56">
        <f>IF(InnovationProjectResults[[#This Row],[Team Number]]&gt;0,MIN(_xlfn.RANK.EQ(InnovationProjectResults[[#This Row],[Innovation Project Score]],InnovationProjectResults[Innovation Project Score],0),NumberOfTeams),NumberOfTeams+1)</f>
        <v>1</v>
      </c>
      <c r="O12" s="63">
        <f>SUM(InnovationProjectResults[[#This Row],[Design - Teamwork (CV)]:[Iterate - Sharing]])</f>
        <v>0</v>
      </c>
    </row>
    <row r="13" spans="1:15" ht="30" customHeight="1" x14ac:dyDescent="0.3">
      <c r="A13" s="115"/>
      <c r="B13" s="116" t="str">
        <f>IF(ISNA(INDEX(OfficialTeamList[Team Name],MATCH(InnovationProjectResults[[#This Row],[Team Number]], OfficialTeamList[Team Number],0))),"",INDEX(OfficialTeamList[Team Name],MATCH(InnovationProjectResults[[#This Row],[Team Number]], OfficialTeamList[Team Number],0)))</f>
        <v/>
      </c>
      <c r="C13" s="115"/>
      <c r="D13" s="115"/>
      <c r="E13" s="115"/>
      <c r="F13" s="115"/>
      <c r="G13" s="115"/>
      <c r="H13" s="115"/>
      <c r="I13" s="115"/>
      <c r="J13" s="115"/>
      <c r="K13" s="115"/>
      <c r="L13" s="115"/>
      <c r="M13" s="61">
        <f>SUM(InnovationProjectResults[[#This Row],[Identify - Define]:[Communicate - Fun (CV)]])</f>
        <v>0</v>
      </c>
      <c r="N13" s="56">
        <f>IF(InnovationProjectResults[[#This Row],[Team Number]]&gt;0,MIN(_xlfn.RANK.EQ(InnovationProjectResults[[#This Row],[Innovation Project Score]],InnovationProjectResults[Innovation Project Score],0),NumberOfTeams),NumberOfTeams+1)</f>
        <v>1</v>
      </c>
      <c r="O13" s="63">
        <f>SUM(InnovationProjectResults[[#This Row],[Design - Teamwork (CV)]:[Iterate - Sharing]])</f>
        <v>0</v>
      </c>
    </row>
    <row r="14" spans="1:15" ht="30" customHeight="1" x14ac:dyDescent="0.3">
      <c r="A14" s="115"/>
      <c r="B14" s="116" t="str">
        <f>IF(ISNA(INDEX(OfficialTeamList[Team Name],MATCH(InnovationProjectResults[[#This Row],[Team Number]], OfficialTeamList[Team Number],0))),"",INDEX(OfficialTeamList[Team Name],MATCH(InnovationProjectResults[[#This Row],[Team Number]], OfficialTeamList[Team Number],0)))</f>
        <v/>
      </c>
      <c r="C14" s="115"/>
      <c r="D14" s="115"/>
      <c r="E14" s="115"/>
      <c r="F14" s="115"/>
      <c r="G14" s="115"/>
      <c r="H14" s="115"/>
      <c r="I14" s="115"/>
      <c r="J14" s="115"/>
      <c r="K14" s="115"/>
      <c r="L14" s="115"/>
      <c r="M14" s="61">
        <f>SUM(InnovationProjectResults[[#This Row],[Identify - Define]:[Communicate - Fun (CV)]])</f>
        <v>0</v>
      </c>
      <c r="N14" s="56">
        <f>IF(InnovationProjectResults[[#This Row],[Team Number]]&gt;0,MIN(_xlfn.RANK.EQ(InnovationProjectResults[[#This Row],[Innovation Project Score]],InnovationProjectResults[Innovation Project Score],0),NumberOfTeams),NumberOfTeams+1)</f>
        <v>1</v>
      </c>
      <c r="O14" s="63">
        <f>SUM(InnovationProjectResults[[#This Row],[Design - Teamwork (CV)]:[Iterate - Sharing]])</f>
        <v>0</v>
      </c>
    </row>
    <row r="15" spans="1:15" ht="30" customHeight="1" x14ac:dyDescent="0.3">
      <c r="A15" s="115"/>
      <c r="B15" s="116" t="str">
        <f>IF(ISNA(INDEX(OfficialTeamList[Team Name],MATCH(InnovationProjectResults[[#This Row],[Team Number]], OfficialTeamList[Team Number],0))),"",INDEX(OfficialTeamList[Team Name],MATCH(InnovationProjectResults[[#This Row],[Team Number]], OfficialTeamList[Team Number],0)))</f>
        <v/>
      </c>
      <c r="C15" s="115"/>
      <c r="D15" s="115"/>
      <c r="E15" s="115"/>
      <c r="F15" s="115"/>
      <c r="G15" s="115"/>
      <c r="H15" s="115"/>
      <c r="I15" s="115"/>
      <c r="J15" s="115"/>
      <c r="K15" s="115"/>
      <c r="L15" s="115"/>
      <c r="M15" s="61">
        <f>SUM(InnovationProjectResults[[#This Row],[Identify - Define]:[Communicate - Fun (CV)]])</f>
        <v>0</v>
      </c>
      <c r="N15" s="56">
        <f>IF(InnovationProjectResults[[#This Row],[Team Number]]&gt;0,MIN(_xlfn.RANK.EQ(InnovationProjectResults[[#This Row],[Innovation Project Score]],InnovationProjectResults[Innovation Project Score],0),NumberOfTeams),NumberOfTeams+1)</f>
        <v>1</v>
      </c>
      <c r="O15" s="63">
        <f>SUM(InnovationProjectResults[[#This Row],[Design - Teamwork (CV)]:[Iterate - Sharing]])</f>
        <v>0</v>
      </c>
    </row>
    <row r="16" spans="1:15" ht="30" customHeight="1" x14ac:dyDescent="0.3">
      <c r="A16" s="115"/>
      <c r="B16" s="116" t="str">
        <f>IF(ISNA(INDEX(OfficialTeamList[Team Name],MATCH(InnovationProjectResults[[#This Row],[Team Number]], OfficialTeamList[Team Number],0))),"",INDEX(OfficialTeamList[Team Name],MATCH(InnovationProjectResults[[#This Row],[Team Number]], OfficialTeamList[Team Number],0)))</f>
        <v/>
      </c>
      <c r="C16" s="115"/>
      <c r="D16" s="115"/>
      <c r="E16" s="115"/>
      <c r="F16" s="115"/>
      <c r="G16" s="115"/>
      <c r="H16" s="115"/>
      <c r="I16" s="115"/>
      <c r="J16" s="115"/>
      <c r="K16" s="115"/>
      <c r="L16" s="115"/>
      <c r="M16" s="61">
        <f>SUM(InnovationProjectResults[[#This Row],[Identify - Define]:[Communicate - Fun (CV)]])</f>
        <v>0</v>
      </c>
      <c r="N16" s="56">
        <f>IF(InnovationProjectResults[[#This Row],[Team Number]]&gt;0,MIN(_xlfn.RANK.EQ(InnovationProjectResults[[#This Row],[Innovation Project Score]],InnovationProjectResults[Innovation Project Score],0),NumberOfTeams),NumberOfTeams+1)</f>
        <v>1</v>
      </c>
      <c r="O16" s="63">
        <f>SUM(InnovationProjectResults[[#This Row],[Design - Teamwork (CV)]:[Iterate - Sharing]])</f>
        <v>0</v>
      </c>
    </row>
    <row r="17" spans="1:15" ht="30" customHeight="1" x14ac:dyDescent="0.3">
      <c r="A17" s="115"/>
      <c r="B17" s="116" t="str">
        <f>IF(ISNA(INDEX(OfficialTeamList[Team Name],MATCH(InnovationProjectResults[[#This Row],[Team Number]], OfficialTeamList[Team Number],0))),"",INDEX(OfficialTeamList[Team Name],MATCH(InnovationProjectResults[[#This Row],[Team Number]], OfficialTeamList[Team Number],0)))</f>
        <v/>
      </c>
      <c r="C17" s="115"/>
      <c r="D17" s="115"/>
      <c r="E17" s="115"/>
      <c r="F17" s="115"/>
      <c r="G17" s="115"/>
      <c r="H17" s="115"/>
      <c r="I17" s="115"/>
      <c r="J17" s="115"/>
      <c r="K17" s="115"/>
      <c r="L17" s="115"/>
      <c r="M17" s="61">
        <f>SUM(InnovationProjectResults[[#This Row],[Identify - Define]:[Communicate - Fun (CV)]])</f>
        <v>0</v>
      </c>
      <c r="N17" s="56">
        <f>IF(InnovationProjectResults[[#This Row],[Team Number]]&gt;0,MIN(_xlfn.RANK.EQ(InnovationProjectResults[[#This Row],[Innovation Project Score]],InnovationProjectResults[Innovation Project Score],0),NumberOfTeams),NumberOfTeams+1)</f>
        <v>1</v>
      </c>
      <c r="O17" s="63">
        <f>SUM(InnovationProjectResults[[#This Row],[Design - Teamwork (CV)]:[Iterate - Sharing]])</f>
        <v>0</v>
      </c>
    </row>
    <row r="18" spans="1:15" ht="30" customHeight="1" x14ac:dyDescent="0.3">
      <c r="A18" s="115"/>
      <c r="B18" s="116" t="str">
        <f>IF(ISNA(INDEX(OfficialTeamList[Team Name],MATCH(InnovationProjectResults[[#This Row],[Team Number]], OfficialTeamList[Team Number],0))),"",INDEX(OfficialTeamList[Team Name],MATCH(InnovationProjectResults[[#This Row],[Team Number]], OfficialTeamList[Team Number],0)))</f>
        <v/>
      </c>
      <c r="C18" s="115"/>
      <c r="D18" s="115"/>
      <c r="E18" s="115"/>
      <c r="F18" s="115"/>
      <c r="G18" s="115"/>
      <c r="H18" s="115"/>
      <c r="I18" s="115"/>
      <c r="J18" s="115"/>
      <c r="K18" s="115"/>
      <c r="L18" s="115"/>
      <c r="M18" s="61">
        <f>SUM(InnovationProjectResults[[#This Row],[Identify - Define]:[Communicate - Fun (CV)]])</f>
        <v>0</v>
      </c>
      <c r="N18" s="56">
        <f>IF(InnovationProjectResults[[#This Row],[Team Number]]&gt;0,MIN(_xlfn.RANK.EQ(InnovationProjectResults[[#This Row],[Innovation Project Score]],InnovationProjectResults[Innovation Project Score],0),NumberOfTeams),NumberOfTeams+1)</f>
        <v>1</v>
      </c>
      <c r="O18" s="63">
        <f>SUM(InnovationProjectResults[[#This Row],[Design - Teamwork (CV)]:[Iterate - Sharing]])</f>
        <v>0</v>
      </c>
    </row>
    <row r="19" spans="1:15" ht="30" customHeight="1" x14ac:dyDescent="0.3">
      <c r="A19" s="115"/>
      <c r="B19" s="116" t="str">
        <f>IF(ISNA(INDEX(OfficialTeamList[Team Name],MATCH(InnovationProjectResults[[#This Row],[Team Number]], OfficialTeamList[Team Number],0))),"",INDEX(OfficialTeamList[Team Name],MATCH(InnovationProjectResults[[#This Row],[Team Number]], OfficialTeamList[Team Number],0)))</f>
        <v/>
      </c>
      <c r="C19" s="115"/>
      <c r="D19" s="115"/>
      <c r="E19" s="115"/>
      <c r="F19" s="115"/>
      <c r="G19" s="115"/>
      <c r="H19" s="115"/>
      <c r="I19" s="115"/>
      <c r="J19" s="115"/>
      <c r="K19" s="115"/>
      <c r="L19" s="115"/>
      <c r="M19" s="61">
        <f>SUM(InnovationProjectResults[[#This Row],[Identify - Define]:[Communicate - Fun (CV)]])</f>
        <v>0</v>
      </c>
      <c r="N19" s="56">
        <f>IF(InnovationProjectResults[[#This Row],[Team Number]]&gt;0,MIN(_xlfn.RANK.EQ(InnovationProjectResults[[#This Row],[Innovation Project Score]],InnovationProjectResults[Innovation Project Score],0),NumberOfTeams),NumberOfTeams+1)</f>
        <v>1</v>
      </c>
      <c r="O19" s="63">
        <f>SUM(InnovationProjectResults[[#This Row],[Design - Teamwork (CV)]:[Iterate - Sharing]])</f>
        <v>0</v>
      </c>
    </row>
    <row r="20" spans="1:15" ht="30" customHeight="1" x14ac:dyDescent="0.3">
      <c r="A20" s="115"/>
      <c r="B20" s="116" t="str">
        <f>IF(ISNA(INDEX(OfficialTeamList[Team Name],MATCH(InnovationProjectResults[[#This Row],[Team Number]], OfficialTeamList[Team Number],0))),"",INDEX(OfficialTeamList[Team Name],MATCH(InnovationProjectResults[[#This Row],[Team Number]], OfficialTeamList[Team Number],0)))</f>
        <v/>
      </c>
      <c r="C20" s="115"/>
      <c r="D20" s="115"/>
      <c r="E20" s="115"/>
      <c r="F20" s="115"/>
      <c r="G20" s="115"/>
      <c r="H20" s="115"/>
      <c r="I20" s="115"/>
      <c r="J20" s="115"/>
      <c r="K20" s="115"/>
      <c r="L20" s="115"/>
      <c r="M20" s="61">
        <f>SUM(InnovationProjectResults[[#This Row],[Identify - Define]:[Communicate - Fun (CV)]])</f>
        <v>0</v>
      </c>
      <c r="N20" s="56">
        <f>IF(InnovationProjectResults[[#This Row],[Team Number]]&gt;0,MIN(_xlfn.RANK.EQ(InnovationProjectResults[[#This Row],[Innovation Project Score]],InnovationProjectResults[Innovation Project Score],0),NumberOfTeams),NumberOfTeams+1)</f>
        <v>1</v>
      </c>
      <c r="O20" s="63">
        <f>SUM(InnovationProjectResults[[#This Row],[Design - Teamwork (CV)]:[Iterate - Sharing]])</f>
        <v>0</v>
      </c>
    </row>
    <row r="21" spans="1:15" ht="30" customHeight="1" x14ac:dyDescent="0.3">
      <c r="A21" s="115"/>
      <c r="B21" s="116" t="str">
        <f>IF(ISNA(INDEX(OfficialTeamList[Team Name],MATCH(InnovationProjectResults[[#This Row],[Team Number]], OfficialTeamList[Team Number],0))),"",INDEX(OfficialTeamList[Team Name],MATCH(InnovationProjectResults[[#This Row],[Team Number]], OfficialTeamList[Team Number],0)))</f>
        <v/>
      </c>
      <c r="C21" s="115"/>
      <c r="D21" s="115"/>
      <c r="E21" s="115"/>
      <c r="F21" s="115"/>
      <c r="G21" s="115"/>
      <c r="H21" s="115"/>
      <c r="I21" s="115"/>
      <c r="J21" s="115"/>
      <c r="K21" s="115"/>
      <c r="L21" s="115"/>
      <c r="M21" s="61">
        <f>SUM(InnovationProjectResults[[#This Row],[Identify - Define]:[Communicate - Fun (CV)]])</f>
        <v>0</v>
      </c>
      <c r="N21" s="56">
        <f>IF(InnovationProjectResults[[#This Row],[Team Number]]&gt;0,MIN(_xlfn.RANK.EQ(InnovationProjectResults[[#This Row],[Innovation Project Score]],InnovationProjectResults[Innovation Project Score],0),NumberOfTeams),NumberOfTeams+1)</f>
        <v>1</v>
      </c>
      <c r="O21" s="63">
        <f>SUM(InnovationProjectResults[[#This Row],[Design - Teamwork (CV)]:[Iterate - Sharing]])</f>
        <v>0</v>
      </c>
    </row>
    <row r="22" spans="1:15" ht="30" customHeight="1" x14ac:dyDescent="0.3">
      <c r="A22" s="115"/>
      <c r="B22" s="116" t="str">
        <f>IF(ISNA(INDEX(OfficialTeamList[Team Name],MATCH(InnovationProjectResults[[#This Row],[Team Number]], OfficialTeamList[Team Number],0))),"",INDEX(OfficialTeamList[Team Name],MATCH(InnovationProjectResults[[#This Row],[Team Number]], OfficialTeamList[Team Number],0)))</f>
        <v/>
      </c>
      <c r="C22" s="115"/>
      <c r="D22" s="115"/>
      <c r="E22" s="115"/>
      <c r="F22" s="115"/>
      <c r="G22" s="115"/>
      <c r="H22" s="115"/>
      <c r="I22" s="115"/>
      <c r="J22" s="115"/>
      <c r="K22" s="115"/>
      <c r="L22" s="115"/>
      <c r="M22" s="61">
        <f>SUM(InnovationProjectResults[[#This Row],[Identify - Define]:[Communicate - Fun (CV)]])</f>
        <v>0</v>
      </c>
      <c r="N22" s="56">
        <f>IF(InnovationProjectResults[[#This Row],[Team Number]]&gt;0,MIN(_xlfn.RANK.EQ(InnovationProjectResults[[#This Row],[Innovation Project Score]],InnovationProjectResults[Innovation Project Score],0),NumberOfTeams),NumberOfTeams+1)</f>
        <v>1</v>
      </c>
      <c r="O22" s="63">
        <f>SUM(InnovationProjectResults[[#This Row],[Design - Teamwork (CV)]:[Iterate - Sharing]])</f>
        <v>0</v>
      </c>
    </row>
    <row r="23" spans="1:15" ht="30" customHeight="1" x14ac:dyDescent="0.3">
      <c r="A23" s="115"/>
      <c r="B23" s="116" t="str">
        <f>IF(ISNA(INDEX(OfficialTeamList[Team Name],MATCH(InnovationProjectResults[[#This Row],[Team Number]], OfficialTeamList[Team Number],0))),"",INDEX(OfficialTeamList[Team Name],MATCH(InnovationProjectResults[[#This Row],[Team Number]], OfficialTeamList[Team Number],0)))</f>
        <v/>
      </c>
      <c r="C23" s="115"/>
      <c r="D23" s="115"/>
      <c r="E23" s="115"/>
      <c r="F23" s="115"/>
      <c r="G23" s="115"/>
      <c r="H23" s="115"/>
      <c r="I23" s="115"/>
      <c r="J23" s="115"/>
      <c r="K23" s="115"/>
      <c r="L23" s="115"/>
      <c r="M23" s="61">
        <f>SUM(InnovationProjectResults[[#This Row],[Identify - Define]:[Communicate - Fun (CV)]])</f>
        <v>0</v>
      </c>
      <c r="N23" s="56">
        <f>IF(InnovationProjectResults[[#This Row],[Team Number]]&gt;0,MIN(_xlfn.RANK.EQ(InnovationProjectResults[[#This Row],[Innovation Project Score]],InnovationProjectResults[Innovation Project Score],0),NumberOfTeams),NumberOfTeams+1)</f>
        <v>1</v>
      </c>
      <c r="O23" s="63">
        <f>SUM(InnovationProjectResults[[#This Row],[Design - Teamwork (CV)]:[Iterate - Sharing]])</f>
        <v>0</v>
      </c>
    </row>
    <row r="24" spans="1:15" ht="30" customHeight="1" x14ac:dyDescent="0.3">
      <c r="A24" s="115"/>
      <c r="B24" s="116" t="str">
        <f>IF(ISNA(INDEX(OfficialTeamList[Team Name],MATCH(InnovationProjectResults[[#This Row],[Team Number]], OfficialTeamList[Team Number],0))),"",INDEX(OfficialTeamList[Team Name],MATCH(InnovationProjectResults[[#This Row],[Team Number]], OfficialTeamList[Team Number],0)))</f>
        <v/>
      </c>
      <c r="C24" s="115"/>
      <c r="D24" s="115"/>
      <c r="E24" s="115"/>
      <c r="F24" s="115"/>
      <c r="G24" s="115"/>
      <c r="H24" s="115"/>
      <c r="I24" s="115"/>
      <c r="J24" s="115"/>
      <c r="K24" s="115"/>
      <c r="L24" s="115"/>
      <c r="M24" s="61">
        <f>SUM(InnovationProjectResults[[#This Row],[Identify - Define]:[Communicate - Fun (CV)]])</f>
        <v>0</v>
      </c>
      <c r="N24" s="56">
        <f>IF(InnovationProjectResults[[#This Row],[Team Number]]&gt;0,MIN(_xlfn.RANK.EQ(InnovationProjectResults[[#This Row],[Innovation Project Score]],InnovationProjectResults[Innovation Project Score],0),NumberOfTeams),NumberOfTeams+1)</f>
        <v>1</v>
      </c>
      <c r="O24" s="63">
        <f>SUM(InnovationProjectResults[[#This Row],[Design - Teamwork (CV)]:[Iterate - Sharing]])</f>
        <v>0</v>
      </c>
    </row>
    <row r="25" spans="1:15" ht="30" customHeight="1" x14ac:dyDescent="0.3">
      <c r="A25" s="115"/>
      <c r="B25" s="116" t="str">
        <f>IF(ISNA(INDEX(OfficialTeamList[Team Name],MATCH(InnovationProjectResults[[#This Row],[Team Number]], OfficialTeamList[Team Number],0))),"",INDEX(OfficialTeamList[Team Name],MATCH(InnovationProjectResults[[#This Row],[Team Number]], OfficialTeamList[Team Number],0)))</f>
        <v/>
      </c>
      <c r="C25" s="115"/>
      <c r="D25" s="115"/>
      <c r="E25" s="115"/>
      <c r="F25" s="115"/>
      <c r="G25" s="115"/>
      <c r="H25" s="115"/>
      <c r="I25" s="115"/>
      <c r="J25" s="115"/>
      <c r="K25" s="115"/>
      <c r="L25" s="115"/>
      <c r="M25" s="61">
        <f>SUM(InnovationProjectResults[[#This Row],[Identify - Define]:[Communicate - Fun (CV)]])</f>
        <v>0</v>
      </c>
      <c r="N25" s="56">
        <f>IF(InnovationProjectResults[[#This Row],[Team Number]]&gt;0,MIN(_xlfn.RANK.EQ(InnovationProjectResults[[#This Row],[Innovation Project Score]],InnovationProjectResults[Innovation Project Score],0),NumberOfTeams),NumberOfTeams+1)</f>
        <v>1</v>
      </c>
      <c r="O25" s="63">
        <f>SUM(InnovationProjectResults[[#This Row],[Design - Teamwork (CV)]:[Iterate - Sharing]])</f>
        <v>0</v>
      </c>
    </row>
    <row r="26" spans="1:15" ht="30" customHeight="1" x14ac:dyDescent="0.3">
      <c r="A26" s="115"/>
      <c r="B26" s="116" t="str">
        <f>IF(ISNA(INDEX(OfficialTeamList[Team Name],MATCH(InnovationProjectResults[[#This Row],[Team Number]], OfficialTeamList[Team Number],0))),"",INDEX(OfficialTeamList[Team Name],MATCH(InnovationProjectResults[[#This Row],[Team Number]], OfficialTeamList[Team Number],0)))</f>
        <v/>
      </c>
      <c r="C26" s="115"/>
      <c r="D26" s="115"/>
      <c r="E26" s="115"/>
      <c r="F26" s="115"/>
      <c r="G26" s="115"/>
      <c r="H26" s="115"/>
      <c r="I26" s="115"/>
      <c r="J26" s="115"/>
      <c r="K26" s="115"/>
      <c r="L26" s="115"/>
      <c r="M26" s="61">
        <f>SUM(InnovationProjectResults[[#This Row],[Identify - Define]:[Communicate - Fun (CV)]])</f>
        <v>0</v>
      </c>
      <c r="N26" s="56">
        <f>IF(InnovationProjectResults[[#This Row],[Team Number]]&gt;0,MIN(_xlfn.RANK.EQ(InnovationProjectResults[[#This Row],[Innovation Project Score]],InnovationProjectResults[Innovation Project Score],0),NumberOfTeams),NumberOfTeams+1)</f>
        <v>1</v>
      </c>
      <c r="O26" s="63">
        <f>SUM(InnovationProjectResults[[#This Row],[Design - Teamwork (CV)]:[Iterate - Sharing]])</f>
        <v>0</v>
      </c>
    </row>
    <row r="27" spans="1:15" ht="30" customHeight="1" x14ac:dyDescent="0.3">
      <c r="A27" s="115"/>
      <c r="B27" s="116" t="str">
        <f>IF(ISNA(INDEX(OfficialTeamList[Team Name],MATCH(InnovationProjectResults[[#This Row],[Team Number]], OfficialTeamList[Team Number],0))),"",INDEX(OfficialTeamList[Team Name],MATCH(InnovationProjectResults[[#This Row],[Team Number]], OfficialTeamList[Team Number],0)))</f>
        <v/>
      </c>
      <c r="C27" s="115"/>
      <c r="D27" s="115"/>
      <c r="E27" s="115"/>
      <c r="F27" s="115"/>
      <c r="G27" s="115"/>
      <c r="H27" s="115"/>
      <c r="I27" s="115"/>
      <c r="J27" s="115"/>
      <c r="K27" s="115"/>
      <c r="L27" s="115"/>
      <c r="M27" s="61">
        <f>SUM(InnovationProjectResults[[#This Row],[Identify - Define]:[Communicate - Fun (CV)]])</f>
        <v>0</v>
      </c>
      <c r="N27" s="56">
        <f>IF(InnovationProjectResults[[#This Row],[Team Number]]&gt;0,MIN(_xlfn.RANK.EQ(InnovationProjectResults[[#This Row],[Innovation Project Score]],InnovationProjectResults[Innovation Project Score],0),NumberOfTeams),NumberOfTeams+1)</f>
        <v>1</v>
      </c>
      <c r="O27" s="63">
        <f>SUM(InnovationProjectResults[[#This Row],[Design - Teamwork (CV)]:[Iterate - Sharing]])</f>
        <v>0</v>
      </c>
    </row>
    <row r="28" spans="1:15" ht="30" customHeight="1" x14ac:dyDescent="0.3">
      <c r="A28" s="115"/>
      <c r="B28" s="116" t="str">
        <f>IF(ISNA(INDEX(OfficialTeamList[Team Name],MATCH(InnovationProjectResults[[#This Row],[Team Number]], OfficialTeamList[Team Number],0))),"",INDEX(OfficialTeamList[Team Name],MATCH(InnovationProjectResults[[#This Row],[Team Number]], OfficialTeamList[Team Number],0)))</f>
        <v/>
      </c>
      <c r="C28" s="115"/>
      <c r="D28" s="115"/>
      <c r="E28" s="115"/>
      <c r="F28" s="115"/>
      <c r="G28" s="115"/>
      <c r="H28" s="115"/>
      <c r="I28" s="115"/>
      <c r="J28" s="115"/>
      <c r="K28" s="115"/>
      <c r="L28" s="115"/>
      <c r="M28" s="61">
        <f>SUM(InnovationProjectResults[[#This Row],[Identify - Define]:[Communicate - Fun (CV)]])</f>
        <v>0</v>
      </c>
      <c r="N28" s="56">
        <f>IF(InnovationProjectResults[[#This Row],[Team Number]]&gt;0,MIN(_xlfn.RANK.EQ(InnovationProjectResults[[#This Row],[Innovation Project Score]],InnovationProjectResults[Innovation Project Score],0),NumberOfTeams),NumberOfTeams+1)</f>
        <v>1</v>
      </c>
      <c r="O28" s="63">
        <f>SUM(InnovationProjectResults[[#This Row],[Design - Teamwork (CV)]:[Iterate - Sharing]])</f>
        <v>0</v>
      </c>
    </row>
    <row r="29" spans="1:15" ht="30" customHeight="1" x14ac:dyDescent="0.3">
      <c r="A29" s="115"/>
      <c r="B29" s="116" t="str">
        <f>IF(ISNA(INDEX(OfficialTeamList[Team Name],MATCH(InnovationProjectResults[[#This Row],[Team Number]], OfficialTeamList[Team Number],0))),"",INDEX(OfficialTeamList[Team Name],MATCH(InnovationProjectResults[[#This Row],[Team Number]], OfficialTeamList[Team Number],0)))</f>
        <v/>
      </c>
      <c r="C29" s="115"/>
      <c r="D29" s="115"/>
      <c r="E29" s="115"/>
      <c r="F29" s="115"/>
      <c r="G29" s="115"/>
      <c r="H29" s="115"/>
      <c r="I29" s="115"/>
      <c r="J29" s="115"/>
      <c r="K29" s="115"/>
      <c r="L29" s="115"/>
      <c r="M29" s="61">
        <f>SUM(InnovationProjectResults[[#This Row],[Identify - Define]:[Communicate - Fun (CV)]])</f>
        <v>0</v>
      </c>
      <c r="N29" s="56">
        <f>IF(InnovationProjectResults[[#This Row],[Team Number]]&gt;0,MIN(_xlfn.RANK.EQ(InnovationProjectResults[[#This Row],[Innovation Project Score]],InnovationProjectResults[Innovation Project Score],0),NumberOfTeams),NumberOfTeams+1)</f>
        <v>1</v>
      </c>
      <c r="O29" s="63">
        <f>SUM(InnovationProjectResults[[#This Row],[Design - Teamwork (CV)]:[Iterate - Sharing]])</f>
        <v>0</v>
      </c>
    </row>
    <row r="30" spans="1:15" ht="30" customHeight="1" x14ac:dyDescent="0.3">
      <c r="A30" s="115"/>
      <c r="B30" s="116" t="str">
        <f>IF(ISNA(INDEX(OfficialTeamList[Team Name],MATCH(InnovationProjectResults[[#This Row],[Team Number]], OfficialTeamList[Team Number],0))),"",INDEX(OfficialTeamList[Team Name],MATCH(InnovationProjectResults[[#This Row],[Team Number]], OfficialTeamList[Team Number],0)))</f>
        <v/>
      </c>
      <c r="C30" s="115"/>
      <c r="D30" s="115"/>
      <c r="E30" s="115"/>
      <c r="F30" s="115"/>
      <c r="G30" s="115"/>
      <c r="H30" s="115"/>
      <c r="I30" s="115"/>
      <c r="J30" s="115"/>
      <c r="K30" s="115"/>
      <c r="L30" s="115"/>
      <c r="M30" s="61">
        <f>SUM(InnovationProjectResults[[#This Row],[Identify - Define]:[Communicate - Fun (CV)]])</f>
        <v>0</v>
      </c>
      <c r="N30" s="56">
        <f>IF(InnovationProjectResults[[#This Row],[Team Number]]&gt;0,MIN(_xlfn.RANK.EQ(InnovationProjectResults[[#This Row],[Innovation Project Score]],InnovationProjectResults[Innovation Project Score],0),NumberOfTeams),NumberOfTeams+1)</f>
        <v>1</v>
      </c>
      <c r="O30" s="63">
        <f>SUM(InnovationProjectResults[[#This Row],[Design - Teamwork (CV)]:[Iterate - Sharing]])</f>
        <v>0</v>
      </c>
    </row>
    <row r="31" spans="1:15" ht="30" customHeight="1" x14ac:dyDescent="0.3">
      <c r="A31" s="115"/>
      <c r="B31" s="116" t="str">
        <f>IF(ISNA(INDEX(OfficialTeamList[Team Name],MATCH(InnovationProjectResults[[#This Row],[Team Number]], OfficialTeamList[Team Number],0))),"",INDEX(OfficialTeamList[Team Name],MATCH(InnovationProjectResults[[#This Row],[Team Number]], OfficialTeamList[Team Number],0)))</f>
        <v/>
      </c>
      <c r="C31" s="115"/>
      <c r="D31" s="115"/>
      <c r="E31" s="115"/>
      <c r="F31" s="115"/>
      <c r="G31" s="115"/>
      <c r="H31" s="115"/>
      <c r="I31" s="115"/>
      <c r="J31" s="115"/>
      <c r="K31" s="115"/>
      <c r="L31" s="115"/>
      <c r="M31" s="61">
        <f>SUM(InnovationProjectResults[[#This Row],[Identify - Define]:[Communicate - Fun (CV)]])</f>
        <v>0</v>
      </c>
      <c r="N31" s="56">
        <f>IF(InnovationProjectResults[[#This Row],[Team Number]]&gt;0,MIN(_xlfn.RANK.EQ(InnovationProjectResults[[#This Row],[Innovation Project Score]],InnovationProjectResults[Innovation Project Score],0),NumberOfTeams),NumberOfTeams+1)</f>
        <v>1</v>
      </c>
      <c r="O31" s="63">
        <f>SUM(InnovationProjectResults[[#This Row],[Design - Teamwork (CV)]:[Iterate - Sharing]])</f>
        <v>0</v>
      </c>
    </row>
    <row r="32" spans="1:15" ht="30" customHeight="1" x14ac:dyDescent="0.3">
      <c r="A32" s="115"/>
      <c r="B32" s="116" t="str">
        <f>IF(ISNA(INDEX(OfficialTeamList[Team Name],MATCH(InnovationProjectResults[[#This Row],[Team Number]], OfficialTeamList[Team Number],0))),"",INDEX(OfficialTeamList[Team Name],MATCH(InnovationProjectResults[[#This Row],[Team Number]], OfficialTeamList[Team Number],0)))</f>
        <v/>
      </c>
      <c r="C32" s="115"/>
      <c r="D32" s="115"/>
      <c r="E32" s="115"/>
      <c r="F32" s="115"/>
      <c r="G32" s="115"/>
      <c r="H32" s="115"/>
      <c r="I32" s="115"/>
      <c r="J32" s="115"/>
      <c r="K32" s="115"/>
      <c r="L32" s="115"/>
      <c r="M32" s="61">
        <f>SUM(InnovationProjectResults[[#This Row],[Identify - Define]:[Communicate - Fun (CV)]])</f>
        <v>0</v>
      </c>
      <c r="N32" s="56">
        <f>IF(InnovationProjectResults[[#This Row],[Team Number]]&gt;0,MIN(_xlfn.RANK.EQ(InnovationProjectResults[[#This Row],[Innovation Project Score]],InnovationProjectResults[Innovation Project Score],0),NumberOfTeams),NumberOfTeams+1)</f>
        <v>1</v>
      </c>
      <c r="O32" s="63">
        <f>SUM(InnovationProjectResults[[#This Row],[Design - Teamwork (CV)]:[Iterate - Sharing]])</f>
        <v>0</v>
      </c>
    </row>
    <row r="33" spans="1:15" ht="30" customHeight="1" x14ac:dyDescent="0.3">
      <c r="A33" s="115"/>
      <c r="B33" s="116" t="str">
        <f>IF(ISNA(INDEX(OfficialTeamList[Team Name],MATCH(InnovationProjectResults[[#This Row],[Team Number]], OfficialTeamList[Team Number],0))),"",INDEX(OfficialTeamList[Team Name],MATCH(InnovationProjectResults[[#This Row],[Team Number]], OfficialTeamList[Team Number],0)))</f>
        <v/>
      </c>
      <c r="C33" s="115"/>
      <c r="D33" s="115"/>
      <c r="E33" s="115"/>
      <c r="F33" s="115"/>
      <c r="G33" s="115"/>
      <c r="H33" s="115"/>
      <c r="I33" s="115"/>
      <c r="J33" s="115"/>
      <c r="K33" s="115"/>
      <c r="L33" s="115"/>
      <c r="M33" s="61">
        <f>SUM(InnovationProjectResults[[#This Row],[Identify - Define]:[Communicate - Fun (CV)]])</f>
        <v>0</v>
      </c>
      <c r="N33" s="56">
        <f>IF(InnovationProjectResults[[#This Row],[Team Number]]&gt;0,MIN(_xlfn.RANK.EQ(InnovationProjectResults[[#This Row],[Innovation Project Score]],InnovationProjectResults[Innovation Project Score],0),NumberOfTeams),NumberOfTeams+1)</f>
        <v>1</v>
      </c>
      <c r="O33" s="63">
        <f>SUM(InnovationProjectResults[[#This Row],[Design - Teamwork (CV)]:[Iterate - Sharing]])</f>
        <v>0</v>
      </c>
    </row>
    <row r="34" spans="1:15" ht="30" customHeight="1" x14ac:dyDescent="0.3">
      <c r="A34" s="115"/>
      <c r="B34" s="116" t="str">
        <f>IF(ISNA(INDEX(OfficialTeamList[Team Name],MATCH(InnovationProjectResults[[#This Row],[Team Number]], OfficialTeamList[Team Number],0))),"",INDEX(OfficialTeamList[Team Name],MATCH(InnovationProjectResults[[#This Row],[Team Number]], OfficialTeamList[Team Number],0)))</f>
        <v/>
      </c>
      <c r="C34" s="115"/>
      <c r="D34" s="115"/>
      <c r="E34" s="115"/>
      <c r="F34" s="115"/>
      <c r="G34" s="115"/>
      <c r="H34" s="115"/>
      <c r="I34" s="115"/>
      <c r="J34" s="115"/>
      <c r="K34" s="115"/>
      <c r="L34" s="115"/>
      <c r="M34" s="61">
        <f>SUM(InnovationProjectResults[[#This Row],[Identify - Define]:[Communicate - Fun (CV)]])</f>
        <v>0</v>
      </c>
      <c r="N34" s="56">
        <f>IF(InnovationProjectResults[[#This Row],[Team Number]]&gt;0,MIN(_xlfn.RANK.EQ(InnovationProjectResults[[#This Row],[Innovation Project Score]],InnovationProjectResults[Innovation Project Score],0),NumberOfTeams),NumberOfTeams+1)</f>
        <v>1</v>
      </c>
      <c r="O34" s="63">
        <f>SUM(InnovationProjectResults[[#This Row],[Design - Teamwork (CV)]:[Iterate - Sharing]])</f>
        <v>0</v>
      </c>
    </row>
    <row r="35" spans="1:15" ht="30" customHeight="1" x14ac:dyDescent="0.3">
      <c r="A35" s="115"/>
      <c r="B35" s="116" t="str">
        <f>IF(ISNA(INDEX(OfficialTeamList[Team Name],MATCH(InnovationProjectResults[[#This Row],[Team Number]], OfficialTeamList[Team Number],0))),"",INDEX(OfficialTeamList[Team Name],MATCH(InnovationProjectResults[[#This Row],[Team Number]], OfficialTeamList[Team Number],0)))</f>
        <v/>
      </c>
      <c r="C35" s="115"/>
      <c r="D35" s="115"/>
      <c r="E35" s="115"/>
      <c r="F35" s="115"/>
      <c r="G35" s="115"/>
      <c r="H35" s="115"/>
      <c r="I35" s="115"/>
      <c r="J35" s="115"/>
      <c r="K35" s="115"/>
      <c r="L35" s="115"/>
      <c r="M35" s="61">
        <f>SUM(InnovationProjectResults[[#This Row],[Identify - Define]:[Communicate - Fun (CV)]])</f>
        <v>0</v>
      </c>
      <c r="N35" s="56">
        <f>IF(InnovationProjectResults[[#This Row],[Team Number]]&gt;0,MIN(_xlfn.RANK.EQ(InnovationProjectResults[[#This Row],[Innovation Project Score]],InnovationProjectResults[Innovation Project Score],0),NumberOfTeams),NumberOfTeams+1)</f>
        <v>1</v>
      </c>
      <c r="O35" s="63">
        <f>SUM(InnovationProjectResults[[#This Row],[Design - Teamwork (CV)]:[Iterate - Sharing]])</f>
        <v>0</v>
      </c>
    </row>
    <row r="36" spans="1:15" ht="30" customHeight="1" x14ac:dyDescent="0.3">
      <c r="A36" s="115"/>
      <c r="B36" s="116" t="str">
        <f>IF(ISNA(INDEX(OfficialTeamList[Team Name],MATCH(InnovationProjectResults[[#This Row],[Team Number]], OfficialTeamList[Team Number],0))),"",INDEX(OfficialTeamList[Team Name],MATCH(InnovationProjectResults[[#This Row],[Team Number]], OfficialTeamList[Team Number],0)))</f>
        <v/>
      </c>
      <c r="C36" s="115"/>
      <c r="D36" s="115"/>
      <c r="E36" s="115"/>
      <c r="F36" s="115"/>
      <c r="G36" s="115"/>
      <c r="H36" s="115"/>
      <c r="I36" s="115"/>
      <c r="J36" s="115"/>
      <c r="K36" s="115"/>
      <c r="L36" s="115"/>
      <c r="M36" s="61">
        <f>SUM(InnovationProjectResults[[#This Row],[Identify - Define]:[Communicate - Fun (CV)]])</f>
        <v>0</v>
      </c>
      <c r="N36" s="56">
        <f>IF(InnovationProjectResults[[#This Row],[Team Number]]&gt;0,MIN(_xlfn.RANK.EQ(InnovationProjectResults[[#This Row],[Innovation Project Score]],InnovationProjectResults[Innovation Project Score],0),NumberOfTeams),NumberOfTeams+1)</f>
        <v>1</v>
      </c>
      <c r="O36" s="63">
        <f>SUM(InnovationProjectResults[[#This Row],[Design - Teamwork (CV)]:[Iterate - Sharing]])</f>
        <v>0</v>
      </c>
    </row>
    <row r="37" spans="1:15" ht="30" customHeight="1" x14ac:dyDescent="0.3">
      <c r="A37" s="115"/>
      <c r="B37" s="116" t="str">
        <f>IF(ISNA(INDEX(OfficialTeamList[Team Name],MATCH(InnovationProjectResults[[#This Row],[Team Number]], OfficialTeamList[Team Number],0))),"",INDEX(OfficialTeamList[Team Name],MATCH(InnovationProjectResults[[#This Row],[Team Number]], OfficialTeamList[Team Number],0)))</f>
        <v/>
      </c>
      <c r="C37" s="115"/>
      <c r="D37" s="115"/>
      <c r="E37" s="115"/>
      <c r="F37" s="115"/>
      <c r="G37" s="115"/>
      <c r="H37" s="115"/>
      <c r="I37" s="115"/>
      <c r="J37" s="115"/>
      <c r="K37" s="115"/>
      <c r="L37" s="115"/>
      <c r="M37" s="61">
        <f>SUM(InnovationProjectResults[[#This Row],[Identify - Define]:[Communicate - Fun (CV)]])</f>
        <v>0</v>
      </c>
      <c r="N37" s="56">
        <f>IF(InnovationProjectResults[[#This Row],[Team Number]]&gt;0,MIN(_xlfn.RANK.EQ(InnovationProjectResults[[#This Row],[Innovation Project Score]],InnovationProjectResults[Innovation Project Score],0),NumberOfTeams),NumberOfTeams+1)</f>
        <v>1</v>
      </c>
      <c r="O37" s="63">
        <f>SUM(InnovationProjectResults[[#This Row],[Design - Teamwork (CV)]:[Iterate - Sharing]])</f>
        <v>0</v>
      </c>
    </row>
    <row r="38" spans="1:15" ht="30" customHeight="1" x14ac:dyDescent="0.3">
      <c r="A38" s="115"/>
      <c r="B38" s="116" t="str">
        <f>IF(ISNA(INDEX(OfficialTeamList[Team Name],MATCH(InnovationProjectResults[[#This Row],[Team Number]], OfficialTeamList[Team Number],0))),"",INDEX(OfficialTeamList[Team Name],MATCH(InnovationProjectResults[[#This Row],[Team Number]], OfficialTeamList[Team Number],0)))</f>
        <v/>
      </c>
      <c r="C38" s="115"/>
      <c r="D38" s="115"/>
      <c r="E38" s="115"/>
      <c r="F38" s="115"/>
      <c r="G38" s="115"/>
      <c r="H38" s="115"/>
      <c r="I38" s="115"/>
      <c r="J38" s="115"/>
      <c r="K38" s="115"/>
      <c r="L38" s="115"/>
      <c r="M38" s="61">
        <f>SUM(InnovationProjectResults[[#This Row],[Identify - Define]:[Communicate - Fun (CV)]])</f>
        <v>0</v>
      </c>
      <c r="N38" s="56">
        <f>IF(InnovationProjectResults[[#This Row],[Team Number]]&gt;0,MIN(_xlfn.RANK.EQ(InnovationProjectResults[[#This Row],[Innovation Project Score]],InnovationProjectResults[Innovation Project Score],0),NumberOfTeams),NumberOfTeams+1)</f>
        <v>1</v>
      </c>
      <c r="O38" s="63">
        <f>SUM(InnovationProjectResults[[#This Row],[Design - Teamwork (CV)]:[Iterate - Sharing]])</f>
        <v>0</v>
      </c>
    </row>
    <row r="39" spans="1:15" ht="30" customHeight="1" x14ac:dyDescent="0.3">
      <c r="A39" s="115"/>
      <c r="B39" s="116" t="str">
        <f>IF(ISNA(INDEX(OfficialTeamList[Team Name],MATCH(InnovationProjectResults[[#This Row],[Team Number]], OfficialTeamList[Team Number],0))),"",INDEX(OfficialTeamList[Team Name],MATCH(InnovationProjectResults[[#This Row],[Team Number]], OfficialTeamList[Team Number],0)))</f>
        <v/>
      </c>
      <c r="C39" s="115"/>
      <c r="D39" s="115"/>
      <c r="E39" s="115"/>
      <c r="F39" s="115"/>
      <c r="G39" s="115"/>
      <c r="H39" s="115"/>
      <c r="I39" s="115"/>
      <c r="J39" s="115"/>
      <c r="K39" s="115"/>
      <c r="L39" s="115"/>
      <c r="M39" s="61">
        <f>SUM(InnovationProjectResults[[#This Row],[Identify - Define]:[Communicate - Fun (CV)]])</f>
        <v>0</v>
      </c>
      <c r="N39" s="56">
        <f>IF(InnovationProjectResults[[#This Row],[Team Number]]&gt;0,MIN(_xlfn.RANK.EQ(InnovationProjectResults[[#This Row],[Innovation Project Score]],InnovationProjectResults[Innovation Project Score],0),NumberOfTeams),NumberOfTeams+1)</f>
        <v>1</v>
      </c>
      <c r="O39" s="63">
        <f>SUM(InnovationProjectResults[[#This Row],[Design - Teamwork (CV)]:[Iterate - Sharing]])</f>
        <v>0</v>
      </c>
    </row>
    <row r="40" spans="1:15" ht="30" customHeight="1" x14ac:dyDescent="0.3">
      <c r="A40" s="115"/>
      <c r="B40" s="116" t="str">
        <f>IF(ISNA(INDEX(OfficialTeamList[Team Name],MATCH(InnovationProjectResults[[#This Row],[Team Number]], OfficialTeamList[Team Number],0))),"",INDEX(OfficialTeamList[Team Name],MATCH(InnovationProjectResults[[#This Row],[Team Number]], OfficialTeamList[Team Number],0)))</f>
        <v/>
      </c>
      <c r="C40" s="115"/>
      <c r="D40" s="115"/>
      <c r="E40" s="115"/>
      <c r="F40" s="115"/>
      <c r="G40" s="115"/>
      <c r="H40" s="115"/>
      <c r="I40" s="115"/>
      <c r="J40" s="115"/>
      <c r="K40" s="115"/>
      <c r="L40" s="115"/>
      <c r="M40" s="61">
        <f>SUM(InnovationProjectResults[[#This Row],[Identify - Define]:[Communicate - Fun (CV)]])</f>
        <v>0</v>
      </c>
      <c r="N40" s="56">
        <f>IF(InnovationProjectResults[[#This Row],[Team Number]]&gt;0,MIN(_xlfn.RANK.EQ(InnovationProjectResults[[#This Row],[Innovation Project Score]],InnovationProjectResults[Innovation Project Score],0),NumberOfTeams),NumberOfTeams+1)</f>
        <v>1</v>
      </c>
      <c r="O40" s="63">
        <f>SUM(InnovationProjectResults[[#This Row],[Design - Teamwork (CV)]:[Iterate - Sharing]])</f>
        <v>0</v>
      </c>
    </row>
    <row r="41" spans="1:15" ht="30" customHeight="1" x14ac:dyDescent="0.3">
      <c r="A41" s="115"/>
      <c r="B41" s="116" t="str">
        <f>IF(ISNA(INDEX(OfficialTeamList[Team Name],MATCH(InnovationProjectResults[[#This Row],[Team Number]], OfficialTeamList[Team Number],0))),"",INDEX(OfficialTeamList[Team Name],MATCH(InnovationProjectResults[[#This Row],[Team Number]], OfficialTeamList[Team Number],0)))</f>
        <v/>
      </c>
      <c r="C41" s="115"/>
      <c r="D41" s="115"/>
      <c r="E41" s="115"/>
      <c r="F41" s="115"/>
      <c r="G41" s="115"/>
      <c r="H41" s="115"/>
      <c r="I41" s="115"/>
      <c r="J41" s="115"/>
      <c r="K41" s="115"/>
      <c r="L41" s="115"/>
      <c r="M41" s="61">
        <f>SUM(InnovationProjectResults[[#This Row],[Identify - Define]:[Communicate - Fun (CV)]])</f>
        <v>0</v>
      </c>
      <c r="N41" s="56">
        <f>IF(InnovationProjectResults[[#This Row],[Team Number]]&gt;0,MIN(_xlfn.RANK.EQ(InnovationProjectResults[[#This Row],[Innovation Project Score]],InnovationProjectResults[Innovation Project Score],0),NumberOfTeams),NumberOfTeams+1)</f>
        <v>1</v>
      </c>
      <c r="O41" s="63">
        <f>SUM(InnovationProjectResults[[#This Row],[Design - Teamwork (CV)]:[Iterate - Sharing]])</f>
        <v>0</v>
      </c>
    </row>
    <row r="42" spans="1:15" ht="30" customHeight="1" x14ac:dyDescent="0.3">
      <c r="A42" s="115"/>
      <c r="B42" s="116" t="str">
        <f>IF(ISNA(INDEX(OfficialTeamList[Team Name],MATCH(InnovationProjectResults[[#This Row],[Team Number]], OfficialTeamList[Team Number],0))),"",INDEX(OfficialTeamList[Team Name],MATCH(InnovationProjectResults[[#This Row],[Team Number]], OfficialTeamList[Team Number],0)))</f>
        <v/>
      </c>
      <c r="C42" s="115"/>
      <c r="D42" s="115"/>
      <c r="E42" s="115"/>
      <c r="F42" s="115"/>
      <c r="G42" s="115"/>
      <c r="H42" s="115"/>
      <c r="I42" s="115"/>
      <c r="J42" s="115"/>
      <c r="K42" s="115"/>
      <c r="L42" s="115"/>
      <c r="M42" s="61">
        <f>SUM(InnovationProjectResults[[#This Row],[Identify - Define]:[Communicate - Fun (CV)]])</f>
        <v>0</v>
      </c>
      <c r="N42" s="56">
        <f>IF(InnovationProjectResults[[#This Row],[Team Number]]&gt;0,MIN(_xlfn.RANK.EQ(InnovationProjectResults[[#This Row],[Innovation Project Score]],InnovationProjectResults[Innovation Project Score],0),NumberOfTeams),NumberOfTeams+1)</f>
        <v>1</v>
      </c>
      <c r="O42" s="63">
        <f>SUM(InnovationProjectResults[[#This Row],[Design - Teamwork (CV)]:[Iterate - Sharing]])</f>
        <v>0</v>
      </c>
    </row>
    <row r="43" spans="1:15" ht="30" customHeight="1" x14ac:dyDescent="0.3">
      <c r="A43" s="115"/>
      <c r="B43" s="116" t="str">
        <f>IF(ISNA(INDEX(OfficialTeamList[Team Name],MATCH(InnovationProjectResults[[#This Row],[Team Number]], OfficialTeamList[Team Number],0))),"",INDEX(OfficialTeamList[Team Name],MATCH(InnovationProjectResults[[#This Row],[Team Number]], OfficialTeamList[Team Number],0)))</f>
        <v/>
      </c>
      <c r="C43" s="115"/>
      <c r="D43" s="115"/>
      <c r="E43" s="115"/>
      <c r="F43" s="115"/>
      <c r="G43" s="115"/>
      <c r="H43" s="115"/>
      <c r="I43" s="115"/>
      <c r="J43" s="115"/>
      <c r="K43" s="115"/>
      <c r="L43" s="115"/>
      <c r="M43" s="61">
        <f>SUM(InnovationProjectResults[[#This Row],[Identify - Define]:[Communicate - Fun (CV)]])</f>
        <v>0</v>
      </c>
      <c r="N43" s="56">
        <f>IF(InnovationProjectResults[[#This Row],[Team Number]]&gt;0,MIN(_xlfn.RANK.EQ(InnovationProjectResults[[#This Row],[Innovation Project Score]],InnovationProjectResults[Innovation Project Score],0),NumberOfTeams),NumberOfTeams+1)</f>
        <v>1</v>
      </c>
      <c r="O43" s="63">
        <f>SUM(InnovationProjectResults[[#This Row],[Design - Teamwork (CV)]:[Iterate - Sharing]])</f>
        <v>0</v>
      </c>
    </row>
    <row r="44" spans="1:15" ht="30" customHeight="1" x14ac:dyDescent="0.3">
      <c r="A44" s="115"/>
      <c r="B44" s="116" t="str">
        <f>IF(ISNA(INDEX(OfficialTeamList[Team Name],MATCH(InnovationProjectResults[[#This Row],[Team Number]], OfficialTeamList[Team Number],0))),"",INDEX(OfficialTeamList[Team Name],MATCH(InnovationProjectResults[[#This Row],[Team Number]], OfficialTeamList[Team Number],0)))</f>
        <v/>
      </c>
      <c r="C44" s="115"/>
      <c r="D44" s="115"/>
      <c r="E44" s="115"/>
      <c r="F44" s="115"/>
      <c r="G44" s="115"/>
      <c r="H44" s="115"/>
      <c r="I44" s="115"/>
      <c r="J44" s="115"/>
      <c r="K44" s="115"/>
      <c r="L44" s="115"/>
      <c r="M44" s="61">
        <f>SUM(InnovationProjectResults[[#This Row],[Identify - Define]:[Communicate - Fun (CV)]])</f>
        <v>0</v>
      </c>
      <c r="N44" s="56">
        <f>IF(InnovationProjectResults[[#This Row],[Team Number]]&gt;0,MIN(_xlfn.RANK.EQ(InnovationProjectResults[[#This Row],[Innovation Project Score]],InnovationProjectResults[Innovation Project Score],0),NumberOfTeams),NumberOfTeams+1)</f>
        <v>1</v>
      </c>
      <c r="O44" s="63">
        <f>SUM(InnovationProjectResults[[#This Row],[Design - Teamwork (CV)]:[Iterate - Sharing]])</f>
        <v>0</v>
      </c>
    </row>
    <row r="45" spans="1:15" ht="30" customHeight="1" x14ac:dyDescent="0.3">
      <c r="A45" s="115"/>
      <c r="B45" s="116" t="str">
        <f>IF(ISNA(INDEX(OfficialTeamList[Team Name],MATCH(InnovationProjectResults[[#This Row],[Team Number]], OfficialTeamList[Team Number],0))),"",INDEX(OfficialTeamList[Team Name],MATCH(InnovationProjectResults[[#This Row],[Team Number]], OfficialTeamList[Team Number],0)))</f>
        <v/>
      </c>
      <c r="C45" s="115"/>
      <c r="D45" s="115"/>
      <c r="E45" s="115"/>
      <c r="F45" s="115"/>
      <c r="G45" s="115"/>
      <c r="H45" s="115"/>
      <c r="I45" s="115"/>
      <c r="J45" s="115"/>
      <c r="K45" s="115"/>
      <c r="L45" s="115"/>
      <c r="M45" s="61">
        <f>SUM(InnovationProjectResults[[#This Row],[Identify - Define]:[Communicate - Fun (CV)]])</f>
        <v>0</v>
      </c>
      <c r="N45" s="56">
        <f>IF(InnovationProjectResults[[#This Row],[Team Number]]&gt;0,MIN(_xlfn.RANK.EQ(InnovationProjectResults[[#This Row],[Innovation Project Score]],InnovationProjectResults[Innovation Project Score],0),NumberOfTeams),NumberOfTeams+1)</f>
        <v>1</v>
      </c>
      <c r="O45" s="63">
        <f>SUM(InnovationProjectResults[[#This Row],[Design - Teamwork (CV)]:[Iterate - Sharing]])</f>
        <v>0</v>
      </c>
    </row>
    <row r="46" spans="1:15" ht="30" customHeight="1" x14ac:dyDescent="0.3">
      <c r="A46" s="115"/>
      <c r="B46" s="116" t="str">
        <f>IF(ISNA(INDEX(OfficialTeamList[Team Name],MATCH(InnovationProjectResults[[#This Row],[Team Number]], OfficialTeamList[Team Number],0))),"",INDEX(OfficialTeamList[Team Name],MATCH(InnovationProjectResults[[#This Row],[Team Number]], OfficialTeamList[Team Number],0)))</f>
        <v/>
      </c>
      <c r="C46" s="115"/>
      <c r="D46" s="115"/>
      <c r="E46" s="115"/>
      <c r="F46" s="115"/>
      <c r="G46" s="115"/>
      <c r="H46" s="115"/>
      <c r="I46" s="115"/>
      <c r="J46" s="115"/>
      <c r="K46" s="115"/>
      <c r="L46" s="115"/>
      <c r="M46" s="61">
        <f>SUM(InnovationProjectResults[[#This Row],[Identify - Define]:[Communicate - Fun (CV)]])</f>
        <v>0</v>
      </c>
      <c r="N46" s="56">
        <f>IF(InnovationProjectResults[[#This Row],[Team Number]]&gt;0,MIN(_xlfn.RANK.EQ(InnovationProjectResults[[#This Row],[Innovation Project Score]],InnovationProjectResults[Innovation Project Score],0),NumberOfTeams),NumberOfTeams+1)</f>
        <v>1</v>
      </c>
      <c r="O46" s="63">
        <f>SUM(InnovationProjectResults[[#This Row],[Design - Teamwork (CV)]:[Iterate - Sharing]])</f>
        <v>0</v>
      </c>
    </row>
    <row r="47" spans="1:15" ht="30" customHeight="1" x14ac:dyDescent="0.3">
      <c r="A47" s="115"/>
      <c r="B47" s="116" t="str">
        <f>IF(ISNA(INDEX(OfficialTeamList[Team Name],MATCH(InnovationProjectResults[[#This Row],[Team Number]], OfficialTeamList[Team Number],0))),"",INDEX(OfficialTeamList[Team Name],MATCH(InnovationProjectResults[[#This Row],[Team Number]], OfficialTeamList[Team Number],0)))</f>
        <v/>
      </c>
      <c r="C47" s="115"/>
      <c r="D47" s="115"/>
      <c r="E47" s="115"/>
      <c r="F47" s="115"/>
      <c r="G47" s="115"/>
      <c r="H47" s="115"/>
      <c r="I47" s="115"/>
      <c r="J47" s="115"/>
      <c r="K47" s="115"/>
      <c r="L47" s="115"/>
      <c r="M47" s="61">
        <f>SUM(InnovationProjectResults[[#This Row],[Identify - Define]:[Communicate - Fun (CV)]])</f>
        <v>0</v>
      </c>
      <c r="N47" s="56">
        <f>IF(InnovationProjectResults[[#This Row],[Team Number]]&gt;0,MIN(_xlfn.RANK.EQ(InnovationProjectResults[[#This Row],[Innovation Project Score]],InnovationProjectResults[Innovation Project Score],0),NumberOfTeams),NumberOfTeams+1)</f>
        <v>1</v>
      </c>
      <c r="O47" s="63">
        <f>SUM(InnovationProjectResults[[#This Row],[Design - Teamwork (CV)]:[Iterate - Sharing]])</f>
        <v>0</v>
      </c>
    </row>
    <row r="48" spans="1:15" ht="30" customHeight="1" x14ac:dyDescent="0.3">
      <c r="A48" s="115"/>
      <c r="B48" s="116" t="str">
        <f>IF(ISNA(INDEX(OfficialTeamList[Team Name],MATCH(InnovationProjectResults[[#This Row],[Team Number]], OfficialTeamList[Team Number],0))),"",INDEX(OfficialTeamList[Team Name],MATCH(InnovationProjectResults[[#This Row],[Team Number]], OfficialTeamList[Team Number],0)))</f>
        <v/>
      </c>
      <c r="C48" s="115"/>
      <c r="D48" s="115"/>
      <c r="E48" s="115"/>
      <c r="F48" s="115"/>
      <c r="G48" s="115"/>
      <c r="H48" s="115"/>
      <c r="I48" s="115"/>
      <c r="J48" s="115"/>
      <c r="K48" s="115"/>
      <c r="L48" s="115"/>
      <c r="M48" s="61">
        <f>SUM(InnovationProjectResults[[#This Row],[Identify - Define]:[Communicate - Fun (CV)]])</f>
        <v>0</v>
      </c>
      <c r="N48" s="56">
        <f>IF(InnovationProjectResults[[#This Row],[Team Number]]&gt;0,MIN(_xlfn.RANK.EQ(InnovationProjectResults[[#This Row],[Innovation Project Score]],InnovationProjectResults[Innovation Project Score],0),NumberOfTeams),NumberOfTeams+1)</f>
        <v>1</v>
      </c>
      <c r="O48" s="63">
        <f>SUM(InnovationProjectResults[[#This Row],[Design - Teamwork (CV)]:[Iterate - Sharing]])</f>
        <v>0</v>
      </c>
    </row>
    <row r="49" spans="1:15" ht="30" customHeight="1" x14ac:dyDescent="0.3">
      <c r="A49" s="115"/>
      <c r="B49" s="116" t="str">
        <f>IF(ISNA(INDEX(OfficialTeamList[Team Name],MATCH(InnovationProjectResults[[#This Row],[Team Number]], OfficialTeamList[Team Number],0))),"",INDEX(OfficialTeamList[Team Name],MATCH(InnovationProjectResults[[#This Row],[Team Number]], OfficialTeamList[Team Number],0)))</f>
        <v/>
      </c>
      <c r="C49" s="115"/>
      <c r="D49" s="115"/>
      <c r="E49" s="115"/>
      <c r="F49" s="115"/>
      <c r="G49" s="115"/>
      <c r="H49" s="115"/>
      <c r="I49" s="115"/>
      <c r="J49" s="115"/>
      <c r="K49" s="115"/>
      <c r="L49" s="115"/>
      <c r="M49" s="61">
        <f>SUM(InnovationProjectResults[[#This Row],[Identify - Define]:[Communicate - Fun (CV)]])</f>
        <v>0</v>
      </c>
      <c r="N49" s="56">
        <f>IF(InnovationProjectResults[[#This Row],[Team Number]]&gt;0,MIN(_xlfn.RANK.EQ(InnovationProjectResults[[#This Row],[Innovation Project Score]],InnovationProjectResults[Innovation Project Score],0),NumberOfTeams),NumberOfTeams+1)</f>
        <v>1</v>
      </c>
      <c r="O49" s="63">
        <f>SUM(InnovationProjectResults[[#This Row],[Design - Teamwork (CV)]:[Iterate - Sharing]])</f>
        <v>0</v>
      </c>
    </row>
    <row r="50" spans="1:15" ht="30" customHeight="1" x14ac:dyDescent="0.3">
      <c r="A50" s="115"/>
      <c r="B50" s="116" t="str">
        <f>IF(ISNA(INDEX(OfficialTeamList[Team Name],MATCH(InnovationProjectResults[[#This Row],[Team Number]], OfficialTeamList[Team Number],0))),"",INDEX(OfficialTeamList[Team Name],MATCH(InnovationProjectResults[[#This Row],[Team Number]], OfficialTeamList[Team Number],0)))</f>
        <v/>
      </c>
      <c r="C50" s="115"/>
      <c r="D50" s="115"/>
      <c r="E50" s="115"/>
      <c r="F50" s="115"/>
      <c r="G50" s="115"/>
      <c r="H50" s="115"/>
      <c r="I50" s="115"/>
      <c r="J50" s="115"/>
      <c r="K50" s="115"/>
      <c r="L50" s="115"/>
      <c r="M50" s="61">
        <f>SUM(InnovationProjectResults[[#This Row],[Identify - Define]:[Communicate - Fun (CV)]])</f>
        <v>0</v>
      </c>
      <c r="N50" s="56">
        <f>IF(InnovationProjectResults[[#This Row],[Team Number]]&gt;0,MIN(_xlfn.RANK.EQ(InnovationProjectResults[[#This Row],[Innovation Project Score]],InnovationProjectResults[Innovation Project Score],0),NumberOfTeams),NumberOfTeams+1)</f>
        <v>1</v>
      </c>
      <c r="O50" s="63">
        <f>SUM(InnovationProjectResults[[#This Row],[Design - Teamwork (CV)]:[Iterate - Sharing]])</f>
        <v>0</v>
      </c>
    </row>
    <row r="51" spans="1:15" ht="30" customHeight="1" x14ac:dyDescent="0.3">
      <c r="A51" s="115"/>
      <c r="B51" s="116" t="str">
        <f>IF(ISNA(INDEX(OfficialTeamList[Team Name],MATCH(InnovationProjectResults[[#This Row],[Team Number]], OfficialTeamList[Team Number],0))),"",INDEX(OfficialTeamList[Team Name],MATCH(InnovationProjectResults[[#This Row],[Team Number]], OfficialTeamList[Team Number],0)))</f>
        <v/>
      </c>
      <c r="C51" s="115"/>
      <c r="D51" s="115"/>
      <c r="E51" s="115"/>
      <c r="F51" s="115"/>
      <c r="G51" s="115"/>
      <c r="H51" s="115"/>
      <c r="I51" s="115"/>
      <c r="J51" s="115"/>
      <c r="K51" s="115"/>
      <c r="L51" s="115"/>
      <c r="M51" s="61">
        <f>SUM(InnovationProjectResults[[#This Row],[Identify - Define]:[Communicate - Fun (CV)]])</f>
        <v>0</v>
      </c>
      <c r="N51" s="56">
        <f>IF(InnovationProjectResults[[#This Row],[Team Number]]&gt;0,MIN(_xlfn.RANK.EQ(InnovationProjectResults[[#This Row],[Innovation Project Score]],InnovationProjectResults[Innovation Project Score],0),NumberOfTeams),NumberOfTeams+1)</f>
        <v>1</v>
      </c>
      <c r="O51" s="63">
        <f>SUM(InnovationProjectResults[[#This Row],[Design - Teamwork (CV)]:[Iterate - Sharing]])</f>
        <v>0</v>
      </c>
    </row>
    <row r="52" spans="1:15" ht="30" customHeight="1" x14ac:dyDescent="0.3">
      <c r="A52" s="115"/>
      <c r="B52" s="116" t="str">
        <f>IF(ISNA(INDEX(OfficialTeamList[Team Name],MATCH(InnovationProjectResults[[#This Row],[Team Number]], OfficialTeamList[Team Number],0))),"",INDEX(OfficialTeamList[Team Name],MATCH(InnovationProjectResults[[#This Row],[Team Number]], OfficialTeamList[Team Number],0)))</f>
        <v/>
      </c>
      <c r="C52" s="115"/>
      <c r="D52" s="115"/>
      <c r="E52" s="115"/>
      <c r="F52" s="115"/>
      <c r="G52" s="115"/>
      <c r="H52" s="115"/>
      <c r="I52" s="115"/>
      <c r="J52" s="115"/>
      <c r="K52" s="115"/>
      <c r="L52" s="115"/>
      <c r="M52" s="61">
        <f>SUM(InnovationProjectResults[[#This Row],[Identify - Define]:[Communicate - Fun (CV)]])</f>
        <v>0</v>
      </c>
      <c r="N52" s="56">
        <f>IF(InnovationProjectResults[[#This Row],[Team Number]]&gt;0,MIN(_xlfn.RANK.EQ(InnovationProjectResults[[#This Row],[Innovation Project Score]],InnovationProjectResults[Innovation Project Score],0),NumberOfTeams),NumberOfTeams+1)</f>
        <v>1</v>
      </c>
      <c r="O52" s="63">
        <f>SUM(InnovationProjectResults[[#This Row],[Design - Teamwork (CV)]:[Iterate - Sharing]])</f>
        <v>0</v>
      </c>
    </row>
    <row r="53" spans="1:15" ht="30" customHeight="1" x14ac:dyDescent="0.3">
      <c r="A53" s="115"/>
      <c r="B53" s="116" t="str">
        <f>IF(ISNA(INDEX(OfficialTeamList[Team Name],MATCH(InnovationProjectResults[[#This Row],[Team Number]], OfficialTeamList[Team Number],0))),"",INDEX(OfficialTeamList[Team Name],MATCH(InnovationProjectResults[[#This Row],[Team Number]], OfficialTeamList[Team Number],0)))</f>
        <v/>
      </c>
      <c r="C53" s="115"/>
      <c r="D53" s="115"/>
      <c r="E53" s="115"/>
      <c r="F53" s="115"/>
      <c r="G53" s="115"/>
      <c r="H53" s="115"/>
      <c r="I53" s="115"/>
      <c r="J53" s="115"/>
      <c r="K53" s="115"/>
      <c r="L53" s="115"/>
      <c r="M53" s="61">
        <f>SUM(InnovationProjectResults[[#This Row],[Identify - Define]:[Communicate - Fun (CV)]])</f>
        <v>0</v>
      </c>
      <c r="N53" s="56">
        <f>IF(InnovationProjectResults[[#This Row],[Team Number]]&gt;0,MIN(_xlfn.RANK.EQ(InnovationProjectResults[[#This Row],[Innovation Project Score]],InnovationProjectResults[Innovation Project Score],0),NumberOfTeams),NumberOfTeams+1)</f>
        <v>1</v>
      </c>
      <c r="O53" s="63">
        <f>SUM(InnovationProjectResults[[#This Row],[Design - Teamwork (CV)]:[Iterate - Sharing]])</f>
        <v>0</v>
      </c>
    </row>
    <row r="54" spans="1:15" ht="30" customHeight="1" x14ac:dyDescent="0.3">
      <c r="A54" s="115"/>
      <c r="B54" s="116" t="str">
        <f>IF(ISNA(INDEX(OfficialTeamList[Team Name],MATCH(InnovationProjectResults[[#This Row],[Team Number]], OfficialTeamList[Team Number],0))),"",INDEX(OfficialTeamList[Team Name],MATCH(InnovationProjectResults[[#This Row],[Team Number]], OfficialTeamList[Team Number],0)))</f>
        <v/>
      </c>
      <c r="C54" s="115"/>
      <c r="D54" s="115"/>
      <c r="E54" s="115"/>
      <c r="F54" s="115"/>
      <c r="G54" s="115"/>
      <c r="H54" s="115"/>
      <c r="I54" s="115"/>
      <c r="J54" s="115"/>
      <c r="K54" s="115"/>
      <c r="L54" s="115"/>
      <c r="M54" s="61">
        <f>SUM(InnovationProjectResults[[#This Row],[Identify - Define]:[Communicate - Fun (CV)]])</f>
        <v>0</v>
      </c>
      <c r="N54" s="56">
        <f>IF(InnovationProjectResults[[#This Row],[Team Number]]&gt;0,MIN(_xlfn.RANK.EQ(InnovationProjectResults[[#This Row],[Innovation Project Score]],InnovationProjectResults[Innovation Project Score],0),NumberOfTeams),NumberOfTeams+1)</f>
        <v>1</v>
      </c>
      <c r="O54" s="63">
        <f>SUM(InnovationProjectResults[[#This Row],[Design - Teamwork (CV)]:[Iterate - Sharing]])</f>
        <v>0</v>
      </c>
    </row>
    <row r="55" spans="1:15" ht="30" customHeight="1" x14ac:dyDescent="0.3">
      <c r="A55" s="115"/>
      <c r="B55" s="116" t="str">
        <f>IF(ISNA(INDEX(OfficialTeamList[Team Name],MATCH(InnovationProjectResults[[#This Row],[Team Number]], OfficialTeamList[Team Number],0))),"",INDEX(OfficialTeamList[Team Name],MATCH(InnovationProjectResults[[#This Row],[Team Number]], OfficialTeamList[Team Number],0)))</f>
        <v/>
      </c>
      <c r="C55" s="115"/>
      <c r="D55" s="115"/>
      <c r="E55" s="115"/>
      <c r="F55" s="115"/>
      <c r="G55" s="115"/>
      <c r="H55" s="115"/>
      <c r="I55" s="115"/>
      <c r="J55" s="115"/>
      <c r="K55" s="115"/>
      <c r="L55" s="115"/>
      <c r="M55" s="61">
        <f>SUM(InnovationProjectResults[[#This Row],[Identify - Define]:[Communicate - Fun (CV)]])</f>
        <v>0</v>
      </c>
      <c r="N55" s="56">
        <f>IF(InnovationProjectResults[[#This Row],[Team Number]]&gt;0,MIN(_xlfn.RANK.EQ(InnovationProjectResults[[#This Row],[Innovation Project Score]],InnovationProjectResults[Innovation Project Score],0),NumberOfTeams),NumberOfTeams+1)</f>
        <v>1</v>
      </c>
      <c r="O55" s="63">
        <f>SUM(InnovationProjectResults[[#This Row],[Design - Teamwork (CV)]:[Iterate - Sharing]])</f>
        <v>0</v>
      </c>
    </row>
    <row r="56" spans="1:15" ht="30" customHeight="1" x14ac:dyDescent="0.3">
      <c r="A56" s="115"/>
      <c r="B56" s="116" t="str">
        <f>IF(ISNA(INDEX(OfficialTeamList[Team Name],MATCH(InnovationProjectResults[[#This Row],[Team Number]], OfficialTeamList[Team Number],0))),"",INDEX(OfficialTeamList[Team Name],MATCH(InnovationProjectResults[[#This Row],[Team Number]], OfficialTeamList[Team Number],0)))</f>
        <v/>
      </c>
      <c r="C56" s="115"/>
      <c r="D56" s="115"/>
      <c r="E56" s="115"/>
      <c r="F56" s="115"/>
      <c r="G56" s="115"/>
      <c r="H56" s="115"/>
      <c r="I56" s="115"/>
      <c r="J56" s="115"/>
      <c r="K56" s="115"/>
      <c r="L56" s="115"/>
      <c r="M56" s="61">
        <f>SUM(InnovationProjectResults[[#This Row],[Identify - Define]:[Communicate - Fun (CV)]])</f>
        <v>0</v>
      </c>
      <c r="N56" s="56">
        <f>IF(InnovationProjectResults[[#This Row],[Team Number]]&gt;0,MIN(_xlfn.RANK.EQ(InnovationProjectResults[[#This Row],[Innovation Project Score]],InnovationProjectResults[Innovation Project Score],0),NumberOfTeams),NumberOfTeams+1)</f>
        <v>1</v>
      </c>
      <c r="O56" s="63">
        <f>SUM(InnovationProjectResults[[#This Row],[Design - Teamwork (CV)]:[Iterate - Sharing]])</f>
        <v>0</v>
      </c>
    </row>
    <row r="57" spans="1:15" ht="30" customHeight="1" x14ac:dyDescent="0.3">
      <c r="A57" s="115"/>
      <c r="B57" s="116" t="str">
        <f>IF(ISNA(INDEX(OfficialTeamList[Team Name],MATCH(InnovationProjectResults[[#This Row],[Team Number]], OfficialTeamList[Team Number],0))),"",INDEX(OfficialTeamList[Team Name],MATCH(InnovationProjectResults[[#This Row],[Team Number]], OfficialTeamList[Team Number],0)))</f>
        <v/>
      </c>
      <c r="C57" s="115"/>
      <c r="D57" s="115"/>
      <c r="E57" s="115"/>
      <c r="F57" s="115"/>
      <c r="G57" s="115"/>
      <c r="H57" s="115"/>
      <c r="I57" s="115"/>
      <c r="J57" s="115"/>
      <c r="K57" s="115"/>
      <c r="L57" s="115"/>
      <c r="M57" s="61">
        <f>SUM(InnovationProjectResults[[#This Row],[Identify - Define]:[Communicate - Fun (CV)]])</f>
        <v>0</v>
      </c>
      <c r="N57" s="56">
        <f>IF(InnovationProjectResults[[#This Row],[Team Number]]&gt;0,MIN(_xlfn.RANK.EQ(InnovationProjectResults[[#This Row],[Innovation Project Score]],InnovationProjectResults[Innovation Project Score],0),NumberOfTeams),NumberOfTeams+1)</f>
        <v>1</v>
      </c>
      <c r="O57" s="63">
        <f>SUM(InnovationProjectResults[[#This Row],[Design - Teamwork (CV)]:[Iterate - Sharing]])</f>
        <v>0</v>
      </c>
    </row>
    <row r="58" spans="1:15" ht="30" customHeight="1" x14ac:dyDescent="0.3">
      <c r="A58" s="115"/>
      <c r="B58" s="116" t="str">
        <f>IF(ISNA(INDEX(OfficialTeamList[Team Name],MATCH(InnovationProjectResults[[#This Row],[Team Number]], OfficialTeamList[Team Number],0))),"",INDEX(OfficialTeamList[Team Name],MATCH(InnovationProjectResults[[#This Row],[Team Number]], OfficialTeamList[Team Number],0)))</f>
        <v/>
      </c>
      <c r="C58" s="115"/>
      <c r="D58" s="115"/>
      <c r="E58" s="115"/>
      <c r="F58" s="115"/>
      <c r="G58" s="115"/>
      <c r="H58" s="115"/>
      <c r="I58" s="115"/>
      <c r="J58" s="115"/>
      <c r="K58" s="115"/>
      <c r="L58" s="115"/>
      <c r="M58" s="61">
        <f>SUM(InnovationProjectResults[[#This Row],[Identify - Define]:[Communicate - Fun (CV)]])</f>
        <v>0</v>
      </c>
      <c r="N58" s="56">
        <f>IF(InnovationProjectResults[[#This Row],[Team Number]]&gt;0,MIN(_xlfn.RANK.EQ(InnovationProjectResults[[#This Row],[Innovation Project Score]],InnovationProjectResults[Innovation Project Score],0),NumberOfTeams),NumberOfTeams+1)</f>
        <v>1</v>
      </c>
      <c r="O58" s="63">
        <f>SUM(InnovationProjectResults[[#This Row],[Design - Teamwork (CV)]:[Iterate - Sharing]])</f>
        <v>0</v>
      </c>
    </row>
    <row r="59" spans="1:15" ht="30" customHeight="1" x14ac:dyDescent="0.3">
      <c r="A59" s="115"/>
      <c r="B59" s="116" t="str">
        <f>IF(ISNA(INDEX(OfficialTeamList[Team Name],MATCH(InnovationProjectResults[[#This Row],[Team Number]], OfficialTeamList[Team Number],0))),"",INDEX(OfficialTeamList[Team Name],MATCH(InnovationProjectResults[[#This Row],[Team Number]], OfficialTeamList[Team Number],0)))</f>
        <v/>
      </c>
      <c r="C59" s="115"/>
      <c r="D59" s="115"/>
      <c r="E59" s="115"/>
      <c r="F59" s="115"/>
      <c r="G59" s="115"/>
      <c r="H59" s="115"/>
      <c r="I59" s="115"/>
      <c r="J59" s="115"/>
      <c r="K59" s="115"/>
      <c r="L59" s="115"/>
      <c r="M59" s="61">
        <f>SUM(InnovationProjectResults[[#This Row],[Identify - Define]:[Communicate - Fun (CV)]])</f>
        <v>0</v>
      </c>
      <c r="N59" s="56">
        <f>IF(InnovationProjectResults[[#This Row],[Team Number]]&gt;0,MIN(_xlfn.RANK.EQ(InnovationProjectResults[[#This Row],[Innovation Project Score]],InnovationProjectResults[Innovation Project Score],0),NumberOfTeams),NumberOfTeams+1)</f>
        <v>1</v>
      </c>
      <c r="O59" s="63">
        <f>SUM(InnovationProjectResults[[#This Row],[Design - Teamwork (CV)]:[Iterate - Sharing]])</f>
        <v>0</v>
      </c>
    </row>
    <row r="60" spans="1:15" ht="30" customHeight="1" x14ac:dyDescent="0.3">
      <c r="A60" s="115"/>
      <c r="B60" s="116" t="str">
        <f>IF(ISNA(INDEX(OfficialTeamList[Team Name],MATCH(InnovationProjectResults[[#This Row],[Team Number]], OfficialTeamList[Team Number],0))),"",INDEX(OfficialTeamList[Team Name],MATCH(InnovationProjectResults[[#This Row],[Team Number]], OfficialTeamList[Team Number],0)))</f>
        <v/>
      </c>
      <c r="C60" s="115"/>
      <c r="D60" s="115"/>
      <c r="E60" s="115"/>
      <c r="F60" s="115"/>
      <c r="G60" s="115"/>
      <c r="H60" s="115"/>
      <c r="I60" s="115"/>
      <c r="J60" s="115"/>
      <c r="K60" s="115"/>
      <c r="L60" s="115"/>
      <c r="M60" s="61">
        <f>SUM(InnovationProjectResults[[#This Row],[Identify - Define]:[Communicate - Fun (CV)]])</f>
        <v>0</v>
      </c>
      <c r="N60" s="56">
        <f>IF(InnovationProjectResults[[#This Row],[Team Number]]&gt;0,MIN(_xlfn.RANK.EQ(InnovationProjectResults[[#This Row],[Innovation Project Score]],InnovationProjectResults[Innovation Project Score],0),NumberOfTeams),NumberOfTeams+1)</f>
        <v>1</v>
      </c>
      <c r="O60" s="63">
        <f>SUM(InnovationProjectResults[[#This Row],[Design - Teamwork (CV)]:[Iterate - Sharing]])</f>
        <v>0</v>
      </c>
    </row>
    <row r="61" spans="1:15" ht="30" customHeight="1" x14ac:dyDescent="0.3">
      <c r="A61" s="115"/>
      <c r="B61" s="116" t="str">
        <f>IF(ISNA(INDEX(OfficialTeamList[Team Name],MATCH(InnovationProjectResults[[#This Row],[Team Number]], OfficialTeamList[Team Number],0))),"",INDEX(OfficialTeamList[Team Name],MATCH(InnovationProjectResults[[#This Row],[Team Number]], OfficialTeamList[Team Number],0)))</f>
        <v/>
      </c>
      <c r="C61" s="115"/>
      <c r="D61" s="115"/>
      <c r="E61" s="115"/>
      <c r="F61" s="115"/>
      <c r="G61" s="115"/>
      <c r="H61" s="115"/>
      <c r="I61" s="115"/>
      <c r="J61" s="115"/>
      <c r="K61" s="115"/>
      <c r="L61" s="115"/>
      <c r="M61" s="61">
        <f>SUM(InnovationProjectResults[[#This Row],[Identify - Define]:[Communicate - Fun (CV)]])</f>
        <v>0</v>
      </c>
      <c r="N61" s="56">
        <f>IF(InnovationProjectResults[[#This Row],[Team Number]]&gt;0,MIN(_xlfn.RANK.EQ(InnovationProjectResults[[#This Row],[Innovation Project Score]],InnovationProjectResults[Innovation Project Score],0),NumberOfTeams),NumberOfTeams+1)</f>
        <v>1</v>
      </c>
      <c r="O61" s="63">
        <f>SUM(InnovationProjectResults[[#This Row],[Design - Teamwork (CV)]:[Iterate - Sharing]])</f>
        <v>0</v>
      </c>
    </row>
    <row r="62" spans="1:15" ht="30" customHeight="1" x14ac:dyDescent="0.3">
      <c r="A62" s="115"/>
      <c r="B62" s="116" t="str">
        <f>IF(ISNA(INDEX(OfficialTeamList[Team Name],MATCH(InnovationProjectResults[[#This Row],[Team Number]], OfficialTeamList[Team Number],0))),"",INDEX(OfficialTeamList[Team Name],MATCH(InnovationProjectResults[[#This Row],[Team Number]], OfficialTeamList[Team Number],0)))</f>
        <v/>
      </c>
      <c r="C62" s="115"/>
      <c r="D62" s="115"/>
      <c r="E62" s="115"/>
      <c r="F62" s="115"/>
      <c r="G62" s="115"/>
      <c r="H62" s="115"/>
      <c r="I62" s="115"/>
      <c r="J62" s="115"/>
      <c r="K62" s="115"/>
      <c r="L62" s="115"/>
      <c r="M62" s="61">
        <f>SUM(InnovationProjectResults[[#This Row],[Identify - Define]:[Communicate - Fun (CV)]])</f>
        <v>0</v>
      </c>
      <c r="N62" s="56">
        <f>IF(InnovationProjectResults[[#This Row],[Team Number]]&gt;0,MIN(_xlfn.RANK.EQ(InnovationProjectResults[[#This Row],[Innovation Project Score]],InnovationProjectResults[Innovation Project Score],0),NumberOfTeams),NumberOfTeams+1)</f>
        <v>1</v>
      </c>
      <c r="O62" s="63">
        <f>SUM(InnovationProjectResults[[#This Row],[Design - Teamwork (CV)]:[Iterate - Sharing]])</f>
        <v>0</v>
      </c>
    </row>
    <row r="63" spans="1:15" ht="30" customHeight="1" x14ac:dyDescent="0.3">
      <c r="A63" s="115"/>
      <c r="B63" s="116" t="str">
        <f>IF(ISNA(INDEX(OfficialTeamList[Team Name],MATCH(InnovationProjectResults[[#This Row],[Team Number]], OfficialTeamList[Team Number],0))),"",INDEX(OfficialTeamList[Team Name],MATCH(InnovationProjectResults[[#This Row],[Team Number]], OfficialTeamList[Team Number],0)))</f>
        <v/>
      </c>
      <c r="C63" s="115"/>
      <c r="D63" s="115"/>
      <c r="E63" s="115"/>
      <c r="F63" s="115"/>
      <c r="G63" s="115"/>
      <c r="H63" s="115"/>
      <c r="I63" s="115"/>
      <c r="J63" s="115"/>
      <c r="K63" s="115"/>
      <c r="L63" s="115"/>
      <c r="M63" s="61">
        <f>SUM(InnovationProjectResults[[#This Row],[Identify - Define]:[Communicate - Fun (CV)]])</f>
        <v>0</v>
      </c>
      <c r="N63" s="56">
        <f>IF(InnovationProjectResults[[#This Row],[Team Number]]&gt;0,MIN(_xlfn.RANK.EQ(InnovationProjectResults[[#This Row],[Innovation Project Score]],InnovationProjectResults[Innovation Project Score],0),NumberOfTeams),NumberOfTeams+1)</f>
        <v>1</v>
      </c>
      <c r="O63" s="63">
        <f>SUM(InnovationProjectResults[[#This Row],[Design - Teamwork (CV)]:[Iterate - Sharing]])</f>
        <v>0</v>
      </c>
    </row>
    <row r="64" spans="1:15" ht="30" customHeight="1" x14ac:dyDescent="0.3">
      <c r="A64" s="115"/>
      <c r="B64" s="116" t="str">
        <f>IF(ISNA(INDEX(OfficialTeamList[Team Name],MATCH(InnovationProjectResults[[#This Row],[Team Number]], OfficialTeamList[Team Number],0))),"",INDEX(OfficialTeamList[Team Name],MATCH(InnovationProjectResults[[#This Row],[Team Number]], OfficialTeamList[Team Number],0)))</f>
        <v/>
      </c>
      <c r="C64" s="115"/>
      <c r="D64" s="115"/>
      <c r="E64" s="115"/>
      <c r="F64" s="115"/>
      <c r="G64" s="115"/>
      <c r="H64" s="115"/>
      <c r="I64" s="115"/>
      <c r="J64" s="115"/>
      <c r="K64" s="115"/>
      <c r="L64" s="115"/>
      <c r="M64" s="61">
        <f>SUM(InnovationProjectResults[[#This Row],[Identify - Define]:[Communicate - Fun (CV)]])</f>
        <v>0</v>
      </c>
      <c r="N64" s="56">
        <f>IF(InnovationProjectResults[[#This Row],[Team Number]]&gt;0,MIN(_xlfn.RANK.EQ(InnovationProjectResults[[#This Row],[Innovation Project Score]],InnovationProjectResults[Innovation Project Score],0),NumberOfTeams),NumberOfTeams+1)</f>
        <v>1</v>
      </c>
      <c r="O64" s="63">
        <f>SUM(InnovationProjectResults[[#This Row],[Design - Teamwork (CV)]:[Iterate - Sharing]])</f>
        <v>0</v>
      </c>
    </row>
    <row r="65" spans="1:15" ht="30" customHeight="1" x14ac:dyDescent="0.3">
      <c r="A65" s="115"/>
      <c r="B65" s="116" t="str">
        <f>IF(ISNA(INDEX(OfficialTeamList[Team Name],MATCH(InnovationProjectResults[[#This Row],[Team Number]], OfficialTeamList[Team Number],0))),"",INDEX(OfficialTeamList[Team Name],MATCH(InnovationProjectResults[[#This Row],[Team Number]], OfficialTeamList[Team Number],0)))</f>
        <v/>
      </c>
      <c r="C65" s="115"/>
      <c r="D65" s="115"/>
      <c r="E65" s="115"/>
      <c r="F65" s="115"/>
      <c r="G65" s="115"/>
      <c r="H65" s="115"/>
      <c r="I65" s="115"/>
      <c r="J65" s="115"/>
      <c r="K65" s="115"/>
      <c r="L65" s="115"/>
      <c r="M65" s="61">
        <f>SUM(InnovationProjectResults[[#This Row],[Identify - Define]:[Communicate - Fun (CV)]])</f>
        <v>0</v>
      </c>
      <c r="N65" s="56">
        <f>IF(InnovationProjectResults[[#This Row],[Team Number]]&gt;0,MIN(_xlfn.RANK.EQ(InnovationProjectResults[[#This Row],[Innovation Project Score]],InnovationProjectResults[Innovation Project Score],0),NumberOfTeams),NumberOfTeams+1)</f>
        <v>1</v>
      </c>
      <c r="O65" s="63">
        <f>SUM(InnovationProjectResults[[#This Row],[Design - Teamwork (CV)]:[Iterate - Sharing]])</f>
        <v>0</v>
      </c>
    </row>
    <row r="66" spans="1:15" ht="30" customHeight="1" x14ac:dyDescent="0.3">
      <c r="A66" s="115"/>
      <c r="B66" s="116" t="str">
        <f>IF(ISNA(INDEX(OfficialTeamList[Team Name],MATCH(InnovationProjectResults[[#This Row],[Team Number]], OfficialTeamList[Team Number],0))),"",INDEX(OfficialTeamList[Team Name],MATCH(InnovationProjectResults[[#This Row],[Team Number]], OfficialTeamList[Team Number],0)))</f>
        <v/>
      </c>
      <c r="C66" s="115"/>
      <c r="D66" s="115"/>
      <c r="E66" s="115"/>
      <c r="F66" s="115"/>
      <c r="G66" s="115"/>
      <c r="H66" s="115"/>
      <c r="I66" s="115"/>
      <c r="J66" s="115"/>
      <c r="K66" s="115"/>
      <c r="L66" s="115"/>
      <c r="M66" s="61">
        <f>SUM(InnovationProjectResults[[#This Row],[Identify - Define]:[Communicate - Fun (CV)]])</f>
        <v>0</v>
      </c>
      <c r="N66" s="56">
        <f>IF(InnovationProjectResults[[#This Row],[Team Number]]&gt;0,MIN(_xlfn.RANK.EQ(InnovationProjectResults[[#This Row],[Innovation Project Score]],InnovationProjectResults[Innovation Project Score],0),NumberOfTeams),NumberOfTeams+1)</f>
        <v>1</v>
      </c>
      <c r="O66" s="63">
        <f>SUM(InnovationProjectResults[[#This Row],[Design - Teamwork (CV)]:[Iterate - Sharing]])</f>
        <v>0</v>
      </c>
    </row>
    <row r="67" spans="1:15" ht="30" customHeight="1" x14ac:dyDescent="0.3">
      <c r="A67" s="115"/>
      <c r="B67" s="116" t="str">
        <f>IF(ISNA(INDEX(OfficialTeamList[Team Name],MATCH(InnovationProjectResults[[#This Row],[Team Number]], OfficialTeamList[Team Number],0))),"",INDEX(OfficialTeamList[Team Name],MATCH(InnovationProjectResults[[#This Row],[Team Number]], OfficialTeamList[Team Number],0)))</f>
        <v/>
      </c>
      <c r="C67" s="115"/>
      <c r="D67" s="115"/>
      <c r="E67" s="115"/>
      <c r="F67" s="115"/>
      <c r="G67" s="115"/>
      <c r="H67" s="115"/>
      <c r="I67" s="115"/>
      <c r="J67" s="115"/>
      <c r="K67" s="115"/>
      <c r="L67" s="115"/>
      <c r="M67" s="61">
        <f>SUM(InnovationProjectResults[[#This Row],[Identify - Define]:[Communicate - Fun (CV)]])</f>
        <v>0</v>
      </c>
      <c r="N67" s="56">
        <f>IF(InnovationProjectResults[[#This Row],[Team Number]]&gt;0,MIN(_xlfn.RANK.EQ(InnovationProjectResults[[#This Row],[Innovation Project Score]],InnovationProjectResults[Innovation Project Score],0),NumberOfTeams),NumberOfTeams+1)</f>
        <v>1</v>
      </c>
      <c r="O67" s="63">
        <f>SUM(InnovationProjectResults[[#This Row],[Design - Teamwork (CV)]:[Iterate - Sharing]])</f>
        <v>0</v>
      </c>
    </row>
    <row r="68" spans="1:15" ht="30" customHeight="1" x14ac:dyDescent="0.3">
      <c r="A68" s="115"/>
      <c r="B68" s="116" t="str">
        <f>IF(ISNA(INDEX(OfficialTeamList[Team Name],MATCH(InnovationProjectResults[[#This Row],[Team Number]], OfficialTeamList[Team Number],0))),"",INDEX(OfficialTeamList[Team Name],MATCH(InnovationProjectResults[[#This Row],[Team Number]], OfficialTeamList[Team Number],0)))</f>
        <v/>
      </c>
      <c r="C68" s="115"/>
      <c r="D68" s="115"/>
      <c r="E68" s="115"/>
      <c r="F68" s="115"/>
      <c r="G68" s="115"/>
      <c r="H68" s="115"/>
      <c r="I68" s="115"/>
      <c r="J68" s="115"/>
      <c r="K68" s="115"/>
      <c r="L68" s="115"/>
      <c r="M68" s="61">
        <f>SUM(InnovationProjectResults[[#This Row],[Identify - Define]:[Communicate - Fun (CV)]])</f>
        <v>0</v>
      </c>
      <c r="N68" s="56">
        <f>IF(InnovationProjectResults[[#This Row],[Team Number]]&gt;0,MIN(_xlfn.RANK.EQ(InnovationProjectResults[[#This Row],[Innovation Project Score]],InnovationProjectResults[Innovation Project Score],0),NumberOfTeams),NumberOfTeams+1)</f>
        <v>1</v>
      </c>
      <c r="O68" s="63">
        <f>SUM(InnovationProjectResults[[#This Row],[Design - Teamwork (CV)]:[Iterate - Sharing]])</f>
        <v>0</v>
      </c>
    </row>
    <row r="69" spans="1:15" ht="30" customHeight="1" x14ac:dyDescent="0.3">
      <c r="A69" s="115"/>
      <c r="B69" s="116" t="str">
        <f>IF(ISNA(INDEX(OfficialTeamList[Team Name],MATCH(InnovationProjectResults[[#This Row],[Team Number]], OfficialTeamList[Team Number],0))),"",INDEX(OfficialTeamList[Team Name],MATCH(InnovationProjectResults[[#This Row],[Team Number]], OfficialTeamList[Team Number],0)))</f>
        <v/>
      </c>
      <c r="C69" s="115"/>
      <c r="D69" s="115"/>
      <c r="E69" s="115"/>
      <c r="F69" s="115"/>
      <c r="G69" s="115"/>
      <c r="H69" s="115"/>
      <c r="I69" s="115"/>
      <c r="J69" s="115"/>
      <c r="K69" s="115"/>
      <c r="L69" s="115"/>
      <c r="M69" s="61">
        <f>SUM(InnovationProjectResults[[#This Row],[Identify - Define]:[Communicate - Fun (CV)]])</f>
        <v>0</v>
      </c>
      <c r="N69" s="56">
        <f>IF(InnovationProjectResults[[#This Row],[Team Number]]&gt;0,MIN(_xlfn.RANK.EQ(InnovationProjectResults[[#This Row],[Innovation Project Score]],InnovationProjectResults[Innovation Project Score],0),NumberOfTeams),NumberOfTeams+1)</f>
        <v>1</v>
      </c>
      <c r="O69" s="63">
        <f>SUM(InnovationProjectResults[[#This Row],[Design - Teamwork (CV)]:[Iterate - Sharing]])</f>
        <v>0</v>
      </c>
    </row>
    <row r="70" spans="1:15" ht="30" customHeight="1" x14ac:dyDescent="0.3">
      <c r="A70" s="115"/>
      <c r="B70" s="116" t="str">
        <f>IF(ISNA(INDEX(OfficialTeamList[Team Name],MATCH(InnovationProjectResults[[#This Row],[Team Number]], OfficialTeamList[Team Number],0))),"",INDEX(OfficialTeamList[Team Name],MATCH(InnovationProjectResults[[#This Row],[Team Number]], OfficialTeamList[Team Number],0)))</f>
        <v/>
      </c>
      <c r="C70" s="115"/>
      <c r="D70" s="115"/>
      <c r="E70" s="115"/>
      <c r="F70" s="115"/>
      <c r="G70" s="115"/>
      <c r="H70" s="115"/>
      <c r="I70" s="115"/>
      <c r="J70" s="115"/>
      <c r="K70" s="115"/>
      <c r="L70" s="115"/>
      <c r="M70" s="61">
        <f>SUM(InnovationProjectResults[[#This Row],[Identify - Define]:[Communicate - Fun (CV)]])</f>
        <v>0</v>
      </c>
      <c r="N70" s="56">
        <f>IF(InnovationProjectResults[[#This Row],[Team Number]]&gt;0,MIN(_xlfn.RANK.EQ(InnovationProjectResults[[#This Row],[Innovation Project Score]],InnovationProjectResults[Innovation Project Score],0),NumberOfTeams),NumberOfTeams+1)</f>
        <v>1</v>
      </c>
      <c r="O70" s="63">
        <f>SUM(InnovationProjectResults[[#This Row],[Design - Teamwork (CV)]:[Iterate - Sharing]])</f>
        <v>0</v>
      </c>
    </row>
    <row r="71" spans="1:15" ht="30" customHeight="1" x14ac:dyDescent="0.3">
      <c r="A71" s="115"/>
      <c r="B71" s="116" t="str">
        <f>IF(ISNA(INDEX(OfficialTeamList[Team Name],MATCH(InnovationProjectResults[[#This Row],[Team Number]], OfficialTeamList[Team Number],0))),"",INDEX(OfficialTeamList[Team Name],MATCH(InnovationProjectResults[[#This Row],[Team Number]], OfficialTeamList[Team Number],0)))</f>
        <v/>
      </c>
      <c r="C71" s="115"/>
      <c r="D71" s="115"/>
      <c r="E71" s="115"/>
      <c r="F71" s="115"/>
      <c r="G71" s="115"/>
      <c r="H71" s="115"/>
      <c r="I71" s="115"/>
      <c r="J71" s="115"/>
      <c r="K71" s="115"/>
      <c r="L71" s="115"/>
      <c r="M71" s="61">
        <f>SUM(InnovationProjectResults[[#This Row],[Identify - Define]:[Communicate - Fun (CV)]])</f>
        <v>0</v>
      </c>
      <c r="N71" s="56">
        <f>IF(InnovationProjectResults[[#This Row],[Team Number]]&gt;0,MIN(_xlfn.RANK.EQ(InnovationProjectResults[[#This Row],[Innovation Project Score]],InnovationProjectResults[Innovation Project Score],0),NumberOfTeams),NumberOfTeams+1)</f>
        <v>1</v>
      </c>
      <c r="O71" s="63">
        <f>SUM(InnovationProjectResults[[#This Row],[Design - Teamwork (CV)]:[Iterate - Sharing]])</f>
        <v>0</v>
      </c>
    </row>
    <row r="72" spans="1:15" ht="30" customHeight="1" x14ac:dyDescent="0.3">
      <c r="A72" s="115"/>
      <c r="B72" s="116" t="str">
        <f>IF(ISNA(INDEX(OfficialTeamList[Team Name],MATCH(InnovationProjectResults[[#This Row],[Team Number]], OfficialTeamList[Team Number],0))),"",INDEX(OfficialTeamList[Team Name],MATCH(InnovationProjectResults[[#This Row],[Team Number]], OfficialTeamList[Team Number],0)))</f>
        <v/>
      </c>
      <c r="C72" s="115"/>
      <c r="D72" s="115"/>
      <c r="E72" s="115"/>
      <c r="F72" s="115"/>
      <c r="G72" s="115"/>
      <c r="H72" s="115"/>
      <c r="I72" s="115"/>
      <c r="J72" s="115"/>
      <c r="K72" s="115"/>
      <c r="L72" s="115"/>
      <c r="M72" s="61">
        <f>SUM(InnovationProjectResults[[#This Row],[Identify - Define]:[Communicate - Fun (CV)]])</f>
        <v>0</v>
      </c>
      <c r="N72" s="56">
        <f>IF(InnovationProjectResults[[#This Row],[Team Number]]&gt;0,MIN(_xlfn.RANK.EQ(InnovationProjectResults[[#This Row],[Innovation Project Score]],InnovationProjectResults[Innovation Project Score],0),NumberOfTeams),NumberOfTeams+1)</f>
        <v>1</v>
      </c>
      <c r="O72" s="63">
        <f>SUM(InnovationProjectResults[[#This Row],[Design - Teamwork (CV)]:[Iterate - Sharing]])</f>
        <v>0</v>
      </c>
    </row>
    <row r="73" spans="1:15" ht="30" customHeight="1" x14ac:dyDescent="0.3">
      <c r="A73" s="115"/>
      <c r="B73" s="116" t="str">
        <f>IF(ISNA(INDEX(OfficialTeamList[Team Name],MATCH(InnovationProjectResults[[#This Row],[Team Number]], OfficialTeamList[Team Number],0))),"",INDEX(OfficialTeamList[Team Name],MATCH(InnovationProjectResults[[#This Row],[Team Number]], OfficialTeamList[Team Number],0)))</f>
        <v/>
      </c>
      <c r="C73" s="115"/>
      <c r="D73" s="115"/>
      <c r="E73" s="115"/>
      <c r="F73" s="115"/>
      <c r="G73" s="115"/>
      <c r="H73" s="115"/>
      <c r="I73" s="115"/>
      <c r="J73" s="115"/>
      <c r="K73" s="115"/>
      <c r="L73" s="115"/>
      <c r="M73" s="61">
        <f>SUM(InnovationProjectResults[[#This Row],[Identify - Define]:[Communicate - Fun (CV)]])</f>
        <v>0</v>
      </c>
      <c r="N73" s="56">
        <f>IF(InnovationProjectResults[[#This Row],[Team Number]]&gt;0,MIN(_xlfn.RANK.EQ(InnovationProjectResults[[#This Row],[Innovation Project Score]],InnovationProjectResults[Innovation Project Score],0),NumberOfTeams),NumberOfTeams+1)</f>
        <v>1</v>
      </c>
      <c r="O73" s="63">
        <f>SUM(InnovationProjectResults[[#This Row],[Design - Teamwork (CV)]:[Iterate - Sharing]])</f>
        <v>0</v>
      </c>
    </row>
    <row r="74" spans="1:15" ht="30" customHeight="1" x14ac:dyDescent="0.3">
      <c r="A74" s="115"/>
      <c r="B74" s="116" t="str">
        <f>IF(ISNA(INDEX(OfficialTeamList[Team Name],MATCH(InnovationProjectResults[[#This Row],[Team Number]], OfficialTeamList[Team Number],0))),"",INDEX(OfficialTeamList[Team Name],MATCH(InnovationProjectResults[[#This Row],[Team Number]], OfficialTeamList[Team Number],0)))</f>
        <v/>
      </c>
      <c r="C74" s="115"/>
      <c r="D74" s="115"/>
      <c r="E74" s="115"/>
      <c r="F74" s="115"/>
      <c r="G74" s="115"/>
      <c r="H74" s="115"/>
      <c r="I74" s="115"/>
      <c r="J74" s="115"/>
      <c r="K74" s="115"/>
      <c r="L74" s="115"/>
      <c r="M74" s="61">
        <f>SUM(InnovationProjectResults[[#This Row],[Identify - Define]:[Communicate - Fun (CV)]])</f>
        <v>0</v>
      </c>
      <c r="N74" s="56">
        <f>IF(InnovationProjectResults[[#This Row],[Team Number]]&gt;0,MIN(_xlfn.RANK.EQ(InnovationProjectResults[[#This Row],[Innovation Project Score]],InnovationProjectResults[Innovation Project Score],0),NumberOfTeams),NumberOfTeams+1)</f>
        <v>1</v>
      </c>
      <c r="O74" s="63">
        <f>SUM(InnovationProjectResults[[#This Row],[Design - Teamwork (CV)]:[Iterate - Sharing]])</f>
        <v>0</v>
      </c>
    </row>
    <row r="75" spans="1:15" ht="30" customHeight="1" x14ac:dyDescent="0.3">
      <c r="A75" s="115"/>
      <c r="B75" s="116" t="str">
        <f>IF(ISNA(INDEX(OfficialTeamList[Team Name],MATCH(InnovationProjectResults[[#This Row],[Team Number]], OfficialTeamList[Team Number],0))),"",INDEX(OfficialTeamList[Team Name],MATCH(InnovationProjectResults[[#This Row],[Team Number]], OfficialTeamList[Team Number],0)))</f>
        <v/>
      </c>
      <c r="C75" s="115"/>
      <c r="D75" s="115"/>
      <c r="E75" s="115"/>
      <c r="F75" s="115"/>
      <c r="G75" s="115"/>
      <c r="H75" s="115"/>
      <c r="I75" s="115"/>
      <c r="J75" s="115"/>
      <c r="K75" s="115"/>
      <c r="L75" s="115"/>
      <c r="M75" s="61">
        <f>SUM(InnovationProjectResults[[#This Row],[Identify - Define]:[Communicate - Fun (CV)]])</f>
        <v>0</v>
      </c>
      <c r="N75" s="56">
        <f>IF(InnovationProjectResults[[#This Row],[Team Number]]&gt;0,MIN(_xlfn.RANK.EQ(InnovationProjectResults[[#This Row],[Innovation Project Score]],InnovationProjectResults[Innovation Project Score],0),NumberOfTeams),NumberOfTeams+1)</f>
        <v>1</v>
      </c>
      <c r="O75" s="63">
        <f>SUM(InnovationProjectResults[[#This Row],[Design - Teamwork (CV)]:[Iterate - Sharing]])</f>
        <v>0</v>
      </c>
    </row>
    <row r="76" spans="1:15" ht="30" customHeight="1" x14ac:dyDescent="0.3">
      <c r="A76" s="115"/>
      <c r="B76" s="116" t="str">
        <f>IF(ISNA(INDEX(OfficialTeamList[Team Name],MATCH(InnovationProjectResults[[#This Row],[Team Number]], OfficialTeamList[Team Number],0))),"",INDEX(OfficialTeamList[Team Name],MATCH(InnovationProjectResults[[#This Row],[Team Number]], OfficialTeamList[Team Number],0)))</f>
        <v/>
      </c>
      <c r="C76" s="115"/>
      <c r="D76" s="115"/>
      <c r="E76" s="115"/>
      <c r="F76" s="115"/>
      <c r="G76" s="115"/>
      <c r="H76" s="115"/>
      <c r="I76" s="115"/>
      <c r="J76" s="115"/>
      <c r="K76" s="115"/>
      <c r="L76" s="115"/>
      <c r="M76" s="61">
        <f>SUM(InnovationProjectResults[[#This Row],[Identify - Define]:[Communicate - Fun (CV)]])</f>
        <v>0</v>
      </c>
      <c r="N76" s="56">
        <f>IF(InnovationProjectResults[[#This Row],[Team Number]]&gt;0,MIN(_xlfn.RANK.EQ(InnovationProjectResults[[#This Row],[Innovation Project Score]],InnovationProjectResults[Innovation Project Score],0),NumberOfTeams),NumberOfTeams+1)</f>
        <v>1</v>
      </c>
      <c r="O76" s="63">
        <f>SUM(InnovationProjectResults[[#This Row],[Design - Teamwork (CV)]:[Iterate - Sharing]])</f>
        <v>0</v>
      </c>
    </row>
    <row r="77" spans="1:15" ht="30" customHeight="1" x14ac:dyDescent="0.3">
      <c r="A77" s="115"/>
      <c r="B77" s="116" t="str">
        <f>IF(ISNA(INDEX(OfficialTeamList[Team Name],MATCH(InnovationProjectResults[[#This Row],[Team Number]], OfficialTeamList[Team Number],0))),"",INDEX(OfficialTeamList[Team Name],MATCH(InnovationProjectResults[[#This Row],[Team Number]], OfficialTeamList[Team Number],0)))</f>
        <v/>
      </c>
      <c r="C77" s="115"/>
      <c r="D77" s="115"/>
      <c r="E77" s="115"/>
      <c r="F77" s="115"/>
      <c r="G77" s="115"/>
      <c r="H77" s="115"/>
      <c r="I77" s="115"/>
      <c r="J77" s="115"/>
      <c r="K77" s="115"/>
      <c r="L77" s="115"/>
      <c r="M77" s="61">
        <f>SUM(InnovationProjectResults[[#This Row],[Identify - Define]:[Communicate - Fun (CV)]])</f>
        <v>0</v>
      </c>
      <c r="N77" s="56">
        <f>IF(InnovationProjectResults[[#This Row],[Team Number]]&gt;0,MIN(_xlfn.RANK.EQ(InnovationProjectResults[[#This Row],[Innovation Project Score]],InnovationProjectResults[Innovation Project Score],0),NumberOfTeams),NumberOfTeams+1)</f>
        <v>1</v>
      </c>
      <c r="O77" s="63">
        <f>SUM(InnovationProjectResults[[#This Row],[Design - Teamwork (CV)]:[Iterate - Sharing]])</f>
        <v>0</v>
      </c>
    </row>
    <row r="78" spans="1:15" ht="30" customHeight="1" x14ac:dyDescent="0.3">
      <c r="A78" s="115"/>
      <c r="B78" s="116" t="str">
        <f>IF(ISNA(INDEX(OfficialTeamList[Team Name],MATCH(InnovationProjectResults[[#This Row],[Team Number]], OfficialTeamList[Team Number],0))),"",INDEX(OfficialTeamList[Team Name],MATCH(InnovationProjectResults[[#This Row],[Team Number]], OfficialTeamList[Team Number],0)))</f>
        <v/>
      </c>
      <c r="C78" s="115"/>
      <c r="D78" s="115"/>
      <c r="E78" s="115"/>
      <c r="F78" s="115"/>
      <c r="G78" s="115"/>
      <c r="H78" s="115"/>
      <c r="I78" s="115"/>
      <c r="J78" s="115"/>
      <c r="K78" s="115"/>
      <c r="L78" s="115"/>
      <c r="M78" s="61">
        <f>SUM(InnovationProjectResults[[#This Row],[Identify - Define]:[Communicate - Fun (CV)]])</f>
        <v>0</v>
      </c>
      <c r="N78" s="56">
        <f>IF(InnovationProjectResults[[#This Row],[Team Number]]&gt;0,MIN(_xlfn.RANK.EQ(InnovationProjectResults[[#This Row],[Innovation Project Score]],InnovationProjectResults[Innovation Project Score],0),NumberOfTeams),NumberOfTeams+1)</f>
        <v>1</v>
      </c>
      <c r="O78" s="63">
        <f>SUM(InnovationProjectResults[[#This Row],[Design - Teamwork (CV)]:[Iterate - Sharing]])</f>
        <v>0</v>
      </c>
    </row>
    <row r="79" spans="1:15" ht="30" customHeight="1" x14ac:dyDescent="0.3">
      <c r="A79" s="115"/>
      <c r="B79" s="116" t="str">
        <f>IF(ISNA(INDEX(OfficialTeamList[Team Name],MATCH(InnovationProjectResults[[#This Row],[Team Number]], OfficialTeamList[Team Number],0))),"",INDEX(OfficialTeamList[Team Name],MATCH(InnovationProjectResults[[#This Row],[Team Number]], OfficialTeamList[Team Number],0)))</f>
        <v/>
      </c>
      <c r="C79" s="115"/>
      <c r="D79" s="115"/>
      <c r="E79" s="115"/>
      <c r="F79" s="115"/>
      <c r="G79" s="115"/>
      <c r="H79" s="115"/>
      <c r="I79" s="115"/>
      <c r="J79" s="115"/>
      <c r="K79" s="115"/>
      <c r="L79" s="115"/>
      <c r="M79" s="61">
        <f>SUM(InnovationProjectResults[[#This Row],[Identify - Define]:[Communicate - Fun (CV)]])</f>
        <v>0</v>
      </c>
      <c r="N79" s="56">
        <f>IF(InnovationProjectResults[[#This Row],[Team Number]]&gt;0,MIN(_xlfn.RANK.EQ(InnovationProjectResults[[#This Row],[Innovation Project Score]],InnovationProjectResults[Innovation Project Score],0),NumberOfTeams),NumberOfTeams+1)</f>
        <v>1</v>
      </c>
      <c r="O79" s="63">
        <f>SUM(InnovationProjectResults[[#This Row],[Design - Teamwork (CV)]:[Iterate - Sharing]])</f>
        <v>0</v>
      </c>
    </row>
    <row r="80" spans="1:15" ht="30" customHeight="1" x14ac:dyDescent="0.3">
      <c r="A80" s="115"/>
      <c r="B80" s="116" t="str">
        <f>IF(ISNA(INDEX(OfficialTeamList[Team Name],MATCH(InnovationProjectResults[[#This Row],[Team Number]], OfficialTeamList[Team Number],0))),"",INDEX(OfficialTeamList[Team Name],MATCH(InnovationProjectResults[[#This Row],[Team Number]], OfficialTeamList[Team Number],0)))</f>
        <v/>
      </c>
      <c r="C80" s="115"/>
      <c r="D80" s="115"/>
      <c r="E80" s="115"/>
      <c r="F80" s="115"/>
      <c r="G80" s="115"/>
      <c r="H80" s="115"/>
      <c r="I80" s="115"/>
      <c r="J80" s="115"/>
      <c r="K80" s="115"/>
      <c r="L80" s="115"/>
      <c r="M80" s="61">
        <f>SUM(InnovationProjectResults[[#This Row],[Identify - Define]:[Communicate - Fun (CV)]])</f>
        <v>0</v>
      </c>
      <c r="N80" s="56">
        <f>IF(InnovationProjectResults[[#This Row],[Team Number]]&gt;0,MIN(_xlfn.RANK.EQ(InnovationProjectResults[[#This Row],[Innovation Project Score]],InnovationProjectResults[Innovation Project Score],0),NumberOfTeams),NumberOfTeams+1)</f>
        <v>1</v>
      </c>
      <c r="O80" s="63">
        <f>SUM(InnovationProjectResults[[#This Row],[Design - Teamwork (CV)]:[Iterate - Sharing]])</f>
        <v>0</v>
      </c>
    </row>
    <row r="81" spans="1:15" ht="30" customHeight="1" x14ac:dyDescent="0.3">
      <c r="A81" s="115"/>
      <c r="B81" s="116" t="str">
        <f>IF(ISNA(INDEX(OfficialTeamList[Team Name],MATCH(InnovationProjectResults[[#This Row],[Team Number]], OfficialTeamList[Team Number],0))),"",INDEX(OfficialTeamList[Team Name],MATCH(InnovationProjectResults[[#This Row],[Team Number]], OfficialTeamList[Team Number],0)))</f>
        <v/>
      </c>
      <c r="C81" s="115"/>
      <c r="D81" s="115"/>
      <c r="E81" s="115"/>
      <c r="F81" s="115"/>
      <c r="G81" s="115"/>
      <c r="H81" s="115"/>
      <c r="I81" s="115"/>
      <c r="J81" s="115"/>
      <c r="K81" s="115"/>
      <c r="L81" s="115"/>
      <c r="M81" s="61">
        <f>SUM(InnovationProjectResults[[#This Row],[Identify - Define]:[Communicate - Fun (CV)]])</f>
        <v>0</v>
      </c>
      <c r="N81" s="56">
        <f>IF(InnovationProjectResults[[#This Row],[Team Number]]&gt;0,MIN(_xlfn.RANK.EQ(InnovationProjectResults[[#This Row],[Innovation Project Score]],InnovationProjectResults[Innovation Project Score],0),NumberOfTeams),NumberOfTeams+1)</f>
        <v>1</v>
      </c>
      <c r="O81" s="63">
        <f>SUM(InnovationProjectResults[[#This Row],[Design - Teamwork (CV)]:[Iterate - Sharing]])</f>
        <v>0</v>
      </c>
    </row>
    <row r="82" spans="1:15" ht="30" customHeight="1" x14ac:dyDescent="0.3">
      <c r="A82" s="115"/>
      <c r="B82" s="116" t="str">
        <f>IF(ISNA(INDEX(OfficialTeamList[Team Name],MATCH(InnovationProjectResults[[#This Row],[Team Number]], OfficialTeamList[Team Number],0))),"",INDEX(OfficialTeamList[Team Name],MATCH(InnovationProjectResults[[#This Row],[Team Number]], OfficialTeamList[Team Number],0)))</f>
        <v/>
      </c>
      <c r="C82" s="115"/>
      <c r="D82" s="115"/>
      <c r="E82" s="115"/>
      <c r="F82" s="115"/>
      <c r="G82" s="115"/>
      <c r="H82" s="115"/>
      <c r="I82" s="115"/>
      <c r="J82" s="115"/>
      <c r="K82" s="115"/>
      <c r="L82" s="115"/>
      <c r="M82" s="61">
        <f>SUM(InnovationProjectResults[[#This Row],[Identify - Define]:[Communicate - Fun (CV)]])</f>
        <v>0</v>
      </c>
      <c r="N82" s="56">
        <f>IF(InnovationProjectResults[[#This Row],[Team Number]]&gt;0,MIN(_xlfn.RANK.EQ(InnovationProjectResults[[#This Row],[Innovation Project Score]],InnovationProjectResults[Innovation Project Score],0),NumberOfTeams),NumberOfTeams+1)</f>
        <v>1</v>
      </c>
      <c r="O82" s="63">
        <f>SUM(InnovationProjectResults[[#This Row],[Design - Teamwork (CV)]:[Iterate - Sharing]])</f>
        <v>0</v>
      </c>
    </row>
    <row r="83" spans="1:15" ht="30" customHeight="1" x14ac:dyDescent="0.3">
      <c r="A83" s="115"/>
      <c r="B83" s="116" t="str">
        <f>IF(ISNA(INDEX(OfficialTeamList[Team Name],MATCH(InnovationProjectResults[[#This Row],[Team Number]], OfficialTeamList[Team Number],0))),"",INDEX(OfficialTeamList[Team Name],MATCH(InnovationProjectResults[[#This Row],[Team Number]], OfficialTeamList[Team Number],0)))</f>
        <v/>
      </c>
      <c r="C83" s="115"/>
      <c r="D83" s="115"/>
      <c r="E83" s="115"/>
      <c r="F83" s="115"/>
      <c r="G83" s="115"/>
      <c r="H83" s="115"/>
      <c r="I83" s="115"/>
      <c r="J83" s="115"/>
      <c r="K83" s="115"/>
      <c r="L83" s="115"/>
      <c r="M83" s="61">
        <f>SUM(InnovationProjectResults[[#This Row],[Identify - Define]:[Communicate - Fun (CV)]])</f>
        <v>0</v>
      </c>
      <c r="N83" s="56">
        <f>IF(InnovationProjectResults[[#This Row],[Team Number]]&gt;0,MIN(_xlfn.RANK.EQ(InnovationProjectResults[[#This Row],[Innovation Project Score]],InnovationProjectResults[Innovation Project Score],0),NumberOfTeams),NumberOfTeams+1)</f>
        <v>1</v>
      </c>
      <c r="O83" s="63">
        <f>SUM(InnovationProjectResults[[#This Row],[Design - Teamwork (CV)]:[Iterate - Sharing]])</f>
        <v>0</v>
      </c>
    </row>
    <row r="84" spans="1:15" ht="30" customHeight="1" x14ac:dyDescent="0.3">
      <c r="A84" s="115"/>
      <c r="B84" s="116" t="str">
        <f>IF(ISNA(INDEX(OfficialTeamList[Team Name],MATCH(InnovationProjectResults[[#This Row],[Team Number]], OfficialTeamList[Team Number],0))),"",INDEX(OfficialTeamList[Team Name],MATCH(InnovationProjectResults[[#This Row],[Team Number]], OfficialTeamList[Team Number],0)))</f>
        <v/>
      </c>
      <c r="C84" s="115"/>
      <c r="D84" s="115"/>
      <c r="E84" s="115"/>
      <c r="F84" s="115"/>
      <c r="G84" s="115"/>
      <c r="H84" s="115"/>
      <c r="I84" s="115"/>
      <c r="J84" s="115"/>
      <c r="K84" s="115"/>
      <c r="L84" s="115"/>
      <c r="M84" s="61">
        <f>SUM(InnovationProjectResults[[#This Row],[Identify - Define]:[Communicate - Fun (CV)]])</f>
        <v>0</v>
      </c>
      <c r="N84" s="56">
        <f>IF(InnovationProjectResults[[#This Row],[Team Number]]&gt;0,MIN(_xlfn.RANK.EQ(InnovationProjectResults[[#This Row],[Innovation Project Score]],InnovationProjectResults[Innovation Project Score],0),NumberOfTeams),NumberOfTeams+1)</f>
        <v>1</v>
      </c>
      <c r="O84" s="63">
        <f>SUM(InnovationProjectResults[[#This Row],[Design - Teamwork (CV)]:[Iterate - Sharing]])</f>
        <v>0</v>
      </c>
    </row>
    <row r="85" spans="1:15" ht="30" customHeight="1" x14ac:dyDescent="0.3">
      <c r="A85" s="115"/>
      <c r="B85" s="116" t="str">
        <f>IF(ISNA(INDEX(OfficialTeamList[Team Name],MATCH(InnovationProjectResults[[#This Row],[Team Number]], OfficialTeamList[Team Number],0))),"",INDEX(OfficialTeamList[Team Name],MATCH(InnovationProjectResults[[#This Row],[Team Number]], OfficialTeamList[Team Number],0)))</f>
        <v/>
      </c>
      <c r="C85" s="115"/>
      <c r="D85" s="115"/>
      <c r="E85" s="115"/>
      <c r="F85" s="115"/>
      <c r="G85" s="115"/>
      <c r="H85" s="115"/>
      <c r="I85" s="115"/>
      <c r="J85" s="115"/>
      <c r="K85" s="115"/>
      <c r="L85" s="115"/>
      <c r="M85" s="61">
        <f>SUM(InnovationProjectResults[[#This Row],[Identify - Define]:[Communicate - Fun (CV)]])</f>
        <v>0</v>
      </c>
      <c r="N85" s="56">
        <f>IF(InnovationProjectResults[[#This Row],[Team Number]]&gt;0,MIN(_xlfn.RANK.EQ(InnovationProjectResults[[#This Row],[Innovation Project Score]],InnovationProjectResults[Innovation Project Score],0),NumberOfTeams),NumberOfTeams+1)</f>
        <v>1</v>
      </c>
      <c r="O85" s="63">
        <f>SUM(InnovationProjectResults[[#This Row],[Design - Teamwork (CV)]:[Iterate - Sharing]])</f>
        <v>0</v>
      </c>
    </row>
    <row r="86" spans="1:15" ht="30" customHeight="1" x14ac:dyDescent="0.3">
      <c r="A86" s="115"/>
      <c r="B86" s="116" t="str">
        <f>IF(ISNA(INDEX(OfficialTeamList[Team Name],MATCH(InnovationProjectResults[[#This Row],[Team Number]], OfficialTeamList[Team Number],0))),"",INDEX(OfficialTeamList[Team Name],MATCH(InnovationProjectResults[[#This Row],[Team Number]], OfficialTeamList[Team Number],0)))</f>
        <v/>
      </c>
      <c r="C86" s="115"/>
      <c r="D86" s="115"/>
      <c r="E86" s="115"/>
      <c r="F86" s="115"/>
      <c r="G86" s="115"/>
      <c r="H86" s="115"/>
      <c r="I86" s="115"/>
      <c r="J86" s="115"/>
      <c r="K86" s="115"/>
      <c r="L86" s="115"/>
      <c r="M86" s="61">
        <f>SUM(InnovationProjectResults[[#This Row],[Identify - Define]:[Communicate - Fun (CV)]])</f>
        <v>0</v>
      </c>
      <c r="N86" s="56">
        <f>IF(InnovationProjectResults[[#This Row],[Team Number]]&gt;0,MIN(_xlfn.RANK.EQ(InnovationProjectResults[[#This Row],[Innovation Project Score]],InnovationProjectResults[Innovation Project Score],0),NumberOfTeams),NumberOfTeams+1)</f>
        <v>1</v>
      </c>
      <c r="O86" s="63">
        <f>SUM(InnovationProjectResults[[#This Row],[Design - Teamwork (CV)]:[Iterate - Sharing]])</f>
        <v>0</v>
      </c>
    </row>
    <row r="87" spans="1:15" ht="30" customHeight="1" x14ac:dyDescent="0.3">
      <c r="A87" s="115"/>
      <c r="B87" s="116" t="str">
        <f>IF(ISNA(INDEX(OfficialTeamList[Team Name],MATCH(InnovationProjectResults[[#This Row],[Team Number]], OfficialTeamList[Team Number],0))),"",INDEX(OfficialTeamList[Team Name],MATCH(InnovationProjectResults[[#This Row],[Team Number]], OfficialTeamList[Team Number],0)))</f>
        <v/>
      </c>
      <c r="C87" s="115"/>
      <c r="D87" s="115"/>
      <c r="E87" s="115"/>
      <c r="F87" s="115"/>
      <c r="G87" s="115"/>
      <c r="H87" s="115"/>
      <c r="I87" s="115"/>
      <c r="J87" s="115"/>
      <c r="K87" s="115"/>
      <c r="L87" s="115"/>
      <c r="M87" s="61">
        <f>SUM(InnovationProjectResults[[#This Row],[Identify - Define]:[Communicate - Fun (CV)]])</f>
        <v>0</v>
      </c>
      <c r="N87" s="56">
        <f>IF(InnovationProjectResults[[#This Row],[Team Number]]&gt;0,MIN(_xlfn.RANK.EQ(InnovationProjectResults[[#This Row],[Innovation Project Score]],InnovationProjectResults[Innovation Project Score],0),NumberOfTeams),NumberOfTeams+1)</f>
        <v>1</v>
      </c>
      <c r="O87" s="63">
        <f>SUM(InnovationProjectResults[[#This Row],[Design - Teamwork (CV)]:[Iterate - Sharing]])</f>
        <v>0</v>
      </c>
    </row>
    <row r="88" spans="1:15" ht="30" customHeight="1" x14ac:dyDescent="0.3">
      <c r="A88" s="115"/>
      <c r="B88" s="116" t="str">
        <f>IF(ISNA(INDEX(OfficialTeamList[Team Name],MATCH(InnovationProjectResults[[#This Row],[Team Number]], OfficialTeamList[Team Number],0))),"",INDEX(OfficialTeamList[Team Name],MATCH(InnovationProjectResults[[#This Row],[Team Number]], OfficialTeamList[Team Number],0)))</f>
        <v/>
      </c>
      <c r="C88" s="115"/>
      <c r="D88" s="115"/>
      <c r="E88" s="115"/>
      <c r="F88" s="115"/>
      <c r="G88" s="115"/>
      <c r="H88" s="115"/>
      <c r="I88" s="115"/>
      <c r="J88" s="115"/>
      <c r="K88" s="115"/>
      <c r="L88" s="115"/>
      <c r="M88" s="61">
        <f>SUM(InnovationProjectResults[[#This Row],[Identify - Define]:[Communicate - Fun (CV)]])</f>
        <v>0</v>
      </c>
      <c r="N88" s="56">
        <f>IF(InnovationProjectResults[[#This Row],[Team Number]]&gt;0,MIN(_xlfn.RANK.EQ(InnovationProjectResults[[#This Row],[Innovation Project Score]],InnovationProjectResults[Innovation Project Score],0),NumberOfTeams),NumberOfTeams+1)</f>
        <v>1</v>
      </c>
      <c r="O88" s="63">
        <f>SUM(InnovationProjectResults[[#This Row],[Design - Teamwork (CV)]:[Iterate - Sharing]])</f>
        <v>0</v>
      </c>
    </row>
    <row r="89" spans="1:15" ht="30" customHeight="1" x14ac:dyDescent="0.3">
      <c r="A89" s="115"/>
      <c r="B89" s="116" t="str">
        <f>IF(ISNA(INDEX(OfficialTeamList[Team Name],MATCH(InnovationProjectResults[[#This Row],[Team Number]], OfficialTeamList[Team Number],0))),"",INDEX(OfficialTeamList[Team Name],MATCH(InnovationProjectResults[[#This Row],[Team Number]], OfficialTeamList[Team Number],0)))</f>
        <v/>
      </c>
      <c r="C89" s="115"/>
      <c r="D89" s="115"/>
      <c r="E89" s="115"/>
      <c r="F89" s="115"/>
      <c r="G89" s="115"/>
      <c r="H89" s="115"/>
      <c r="I89" s="115"/>
      <c r="J89" s="115"/>
      <c r="K89" s="115"/>
      <c r="L89" s="115"/>
      <c r="M89" s="61">
        <f>SUM(InnovationProjectResults[[#This Row],[Identify - Define]:[Communicate - Fun (CV)]])</f>
        <v>0</v>
      </c>
      <c r="N89" s="56">
        <f>IF(InnovationProjectResults[[#This Row],[Team Number]]&gt;0,MIN(_xlfn.RANK.EQ(InnovationProjectResults[[#This Row],[Innovation Project Score]],InnovationProjectResults[Innovation Project Score],0),NumberOfTeams),NumberOfTeams+1)</f>
        <v>1</v>
      </c>
      <c r="O89" s="63">
        <f>SUM(InnovationProjectResults[[#This Row],[Design - Teamwork (CV)]:[Iterate - Sharing]])</f>
        <v>0</v>
      </c>
    </row>
    <row r="90" spans="1:15" ht="30" customHeight="1" x14ac:dyDescent="0.3">
      <c r="A90" s="115"/>
      <c r="B90" s="116" t="str">
        <f>IF(ISNA(INDEX(OfficialTeamList[Team Name],MATCH(InnovationProjectResults[[#This Row],[Team Number]], OfficialTeamList[Team Number],0))),"",INDEX(OfficialTeamList[Team Name],MATCH(InnovationProjectResults[[#This Row],[Team Number]], OfficialTeamList[Team Number],0)))</f>
        <v/>
      </c>
      <c r="C90" s="115"/>
      <c r="D90" s="115"/>
      <c r="E90" s="115"/>
      <c r="F90" s="115"/>
      <c r="G90" s="115"/>
      <c r="H90" s="115"/>
      <c r="I90" s="115"/>
      <c r="J90" s="115"/>
      <c r="K90" s="115"/>
      <c r="L90" s="115"/>
      <c r="M90" s="61">
        <f>SUM(InnovationProjectResults[[#This Row],[Identify - Define]:[Communicate - Fun (CV)]])</f>
        <v>0</v>
      </c>
      <c r="N90" s="56">
        <f>IF(InnovationProjectResults[[#This Row],[Team Number]]&gt;0,MIN(_xlfn.RANK.EQ(InnovationProjectResults[[#This Row],[Innovation Project Score]],InnovationProjectResults[Innovation Project Score],0),NumberOfTeams),NumberOfTeams+1)</f>
        <v>1</v>
      </c>
      <c r="O90" s="63">
        <f>SUM(InnovationProjectResults[[#This Row],[Design - Teamwork (CV)]:[Iterate - Sharing]])</f>
        <v>0</v>
      </c>
    </row>
    <row r="91" spans="1:15" ht="30" customHeight="1" x14ac:dyDescent="0.3">
      <c r="A91" s="115"/>
      <c r="B91" s="116" t="str">
        <f>IF(ISNA(INDEX(OfficialTeamList[Team Name],MATCH(InnovationProjectResults[[#This Row],[Team Number]], OfficialTeamList[Team Number],0))),"",INDEX(OfficialTeamList[Team Name],MATCH(InnovationProjectResults[[#This Row],[Team Number]], OfficialTeamList[Team Number],0)))</f>
        <v/>
      </c>
      <c r="C91" s="115"/>
      <c r="D91" s="115"/>
      <c r="E91" s="115"/>
      <c r="F91" s="115"/>
      <c r="G91" s="115"/>
      <c r="H91" s="115"/>
      <c r="I91" s="115"/>
      <c r="J91" s="115"/>
      <c r="K91" s="115"/>
      <c r="L91" s="115"/>
      <c r="M91" s="61">
        <f>SUM(InnovationProjectResults[[#This Row],[Identify - Define]:[Communicate - Fun (CV)]])</f>
        <v>0</v>
      </c>
      <c r="N91" s="56">
        <f>IF(InnovationProjectResults[[#This Row],[Team Number]]&gt;0,MIN(_xlfn.RANK.EQ(InnovationProjectResults[[#This Row],[Innovation Project Score]],InnovationProjectResults[Innovation Project Score],0),NumberOfTeams),NumberOfTeams+1)</f>
        <v>1</v>
      </c>
      <c r="O91" s="63">
        <f>SUM(InnovationProjectResults[[#This Row],[Design - Teamwork (CV)]:[Iterate - Sharing]])</f>
        <v>0</v>
      </c>
    </row>
    <row r="92" spans="1:15" ht="30" customHeight="1" x14ac:dyDescent="0.3">
      <c r="A92" s="115"/>
      <c r="B92" s="116" t="str">
        <f>IF(ISNA(INDEX(OfficialTeamList[Team Name],MATCH(InnovationProjectResults[[#This Row],[Team Number]], OfficialTeamList[Team Number],0))),"",INDEX(OfficialTeamList[Team Name],MATCH(InnovationProjectResults[[#This Row],[Team Number]], OfficialTeamList[Team Number],0)))</f>
        <v/>
      </c>
      <c r="C92" s="115"/>
      <c r="D92" s="115"/>
      <c r="E92" s="115"/>
      <c r="F92" s="115"/>
      <c r="G92" s="115"/>
      <c r="H92" s="115"/>
      <c r="I92" s="115"/>
      <c r="J92" s="115"/>
      <c r="K92" s="115"/>
      <c r="L92" s="115"/>
      <c r="M92" s="61">
        <f>SUM(InnovationProjectResults[[#This Row],[Identify - Define]:[Communicate - Fun (CV)]])</f>
        <v>0</v>
      </c>
      <c r="N92" s="56">
        <f>IF(InnovationProjectResults[[#This Row],[Team Number]]&gt;0,MIN(_xlfn.RANK.EQ(InnovationProjectResults[[#This Row],[Innovation Project Score]],InnovationProjectResults[Innovation Project Score],0),NumberOfTeams),NumberOfTeams+1)</f>
        <v>1</v>
      </c>
      <c r="O92" s="63">
        <f>SUM(InnovationProjectResults[[#This Row],[Design - Teamwork (CV)]:[Iterate - Sharing]])</f>
        <v>0</v>
      </c>
    </row>
    <row r="93" spans="1:15" ht="30" customHeight="1" x14ac:dyDescent="0.3">
      <c r="A93" s="115"/>
      <c r="B93" s="116" t="str">
        <f>IF(ISNA(INDEX(OfficialTeamList[Team Name],MATCH(InnovationProjectResults[[#This Row],[Team Number]], OfficialTeamList[Team Number],0))),"",INDEX(OfficialTeamList[Team Name],MATCH(InnovationProjectResults[[#This Row],[Team Number]], OfficialTeamList[Team Number],0)))</f>
        <v/>
      </c>
      <c r="C93" s="115"/>
      <c r="D93" s="115"/>
      <c r="E93" s="115"/>
      <c r="F93" s="115"/>
      <c r="G93" s="115"/>
      <c r="H93" s="115"/>
      <c r="I93" s="115"/>
      <c r="J93" s="115"/>
      <c r="K93" s="115"/>
      <c r="L93" s="115"/>
      <c r="M93" s="61">
        <f>SUM(InnovationProjectResults[[#This Row],[Identify - Define]:[Communicate - Fun (CV)]])</f>
        <v>0</v>
      </c>
      <c r="N93" s="56">
        <f>IF(InnovationProjectResults[[#This Row],[Team Number]]&gt;0,MIN(_xlfn.RANK.EQ(InnovationProjectResults[[#This Row],[Innovation Project Score]],InnovationProjectResults[Innovation Project Score],0),NumberOfTeams),NumberOfTeams+1)</f>
        <v>1</v>
      </c>
      <c r="O93" s="63">
        <f>SUM(InnovationProjectResults[[#This Row],[Design - Teamwork (CV)]:[Iterate - Sharing]])</f>
        <v>0</v>
      </c>
    </row>
    <row r="94" spans="1:15" ht="30" customHeight="1" x14ac:dyDescent="0.3">
      <c r="A94" s="115"/>
      <c r="B94" s="116" t="str">
        <f>IF(ISNA(INDEX(OfficialTeamList[Team Name],MATCH(InnovationProjectResults[[#This Row],[Team Number]], OfficialTeamList[Team Number],0))),"",INDEX(OfficialTeamList[Team Name],MATCH(InnovationProjectResults[[#This Row],[Team Number]], OfficialTeamList[Team Number],0)))</f>
        <v/>
      </c>
      <c r="C94" s="115"/>
      <c r="D94" s="115"/>
      <c r="E94" s="115"/>
      <c r="F94" s="115"/>
      <c r="G94" s="115"/>
      <c r="H94" s="115"/>
      <c r="I94" s="115"/>
      <c r="J94" s="115"/>
      <c r="K94" s="115"/>
      <c r="L94" s="115"/>
      <c r="M94" s="61">
        <f>SUM(InnovationProjectResults[[#This Row],[Identify - Define]:[Communicate - Fun (CV)]])</f>
        <v>0</v>
      </c>
      <c r="N94" s="56">
        <f>IF(InnovationProjectResults[[#This Row],[Team Number]]&gt;0,MIN(_xlfn.RANK.EQ(InnovationProjectResults[[#This Row],[Innovation Project Score]],InnovationProjectResults[Innovation Project Score],0),NumberOfTeams),NumberOfTeams+1)</f>
        <v>1</v>
      </c>
      <c r="O94" s="63">
        <f>SUM(InnovationProjectResults[[#This Row],[Design - Teamwork (CV)]:[Iterate - Sharing]])</f>
        <v>0</v>
      </c>
    </row>
    <row r="95" spans="1:15" ht="30" customHeight="1" x14ac:dyDescent="0.3">
      <c r="A95" s="115"/>
      <c r="B95" s="116" t="str">
        <f>IF(ISNA(INDEX(OfficialTeamList[Team Name],MATCH(InnovationProjectResults[[#This Row],[Team Number]], OfficialTeamList[Team Number],0))),"",INDEX(OfficialTeamList[Team Name],MATCH(InnovationProjectResults[[#This Row],[Team Number]], OfficialTeamList[Team Number],0)))</f>
        <v/>
      </c>
      <c r="C95" s="115"/>
      <c r="D95" s="115"/>
      <c r="E95" s="115"/>
      <c r="F95" s="115"/>
      <c r="G95" s="115"/>
      <c r="H95" s="115"/>
      <c r="I95" s="115"/>
      <c r="J95" s="115"/>
      <c r="K95" s="115"/>
      <c r="L95" s="115"/>
      <c r="M95" s="61">
        <f>SUM(InnovationProjectResults[[#This Row],[Identify - Define]:[Communicate - Fun (CV)]])</f>
        <v>0</v>
      </c>
      <c r="N95" s="56">
        <f>IF(InnovationProjectResults[[#This Row],[Team Number]]&gt;0,MIN(_xlfn.RANK.EQ(InnovationProjectResults[[#This Row],[Innovation Project Score]],InnovationProjectResults[Innovation Project Score],0),NumberOfTeams),NumberOfTeams+1)</f>
        <v>1</v>
      </c>
      <c r="O95" s="63">
        <f>SUM(InnovationProjectResults[[#This Row],[Design - Teamwork (CV)]:[Iterate - Sharing]])</f>
        <v>0</v>
      </c>
    </row>
    <row r="96" spans="1:15" ht="30" customHeight="1" x14ac:dyDescent="0.3">
      <c r="A96" s="115"/>
      <c r="B96" s="116" t="str">
        <f>IF(ISNA(INDEX(OfficialTeamList[Team Name],MATCH(InnovationProjectResults[[#This Row],[Team Number]], OfficialTeamList[Team Number],0))),"",INDEX(OfficialTeamList[Team Name],MATCH(InnovationProjectResults[[#This Row],[Team Number]], OfficialTeamList[Team Number],0)))</f>
        <v/>
      </c>
      <c r="C96" s="115"/>
      <c r="D96" s="115"/>
      <c r="E96" s="115"/>
      <c r="F96" s="115"/>
      <c r="G96" s="115"/>
      <c r="H96" s="115"/>
      <c r="I96" s="115"/>
      <c r="J96" s="115"/>
      <c r="K96" s="115"/>
      <c r="L96" s="115"/>
      <c r="M96" s="61">
        <f>SUM(InnovationProjectResults[[#This Row],[Identify - Define]:[Communicate - Fun (CV)]])</f>
        <v>0</v>
      </c>
      <c r="N96" s="56">
        <f>IF(InnovationProjectResults[[#This Row],[Team Number]]&gt;0,MIN(_xlfn.RANK.EQ(InnovationProjectResults[[#This Row],[Innovation Project Score]],InnovationProjectResults[Innovation Project Score],0),NumberOfTeams),NumberOfTeams+1)</f>
        <v>1</v>
      </c>
      <c r="O96" s="63">
        <f>SUM(InnovationProjectResults[[#This Row],[Design - Teamwork (CV)]:[Iterate - Sharing]])</f>
        <v>0</v>
      </c>
    </row>
    <row r="97" spans="1:15" ht="30" customHeight="1" x14ac:dyDescent="0.3">
      <c r="A97" s="115"/>
      <c r="B97" s="116" t="str">
        <f>IF(ISNA(INDEX(OfficialTeamList[Team Name],MATCH(InnovationProjectResults[[#This Row],[Team Number]], OfficialTeamList[Team Number],0))),"",INDEX(OfficialTeamList[Team Name],MATCH(InnovationProjectResults[[#This Row],[Team Number]], OfficialTeamList[Team Number],0)))</f>
        <v/>
      </c>
      <c r="C97" s="115"/>
      <c r="D97" s="115"/>
      <c r="E97" s="115"/>
      <c r="F97" s="115"/>
      <c r="G97" s="115"/>
      <c r="H97" s="115"/>
      <c r="I97" s="115"/>
      <c r="J97" s="115"/>
      <c r="K97" s="115"/>
      <c r="L97" s="115"/>
      <c r="M97" s="61">
        <f>SUM(InnovationProjectResults[[#This Row],[Identify - Define]:[Communicate - Fun (CV)]])</f>
        <v>0</v>
      </c>
      <c r="N97" s="56">
        <f>IF(InnovationProjectResults[[#This Row],[Team Number]]&gt;0,MIN(_xlfn.RANK.EQ(InnovationProjectResults[[#This Row],[Innovation Project Score]],InnovationProjectResults[Innovation Project Score],0),NumberOfTeams),NumberOfTeams+1)</f>
        <v>1</v>
      </c>
      <c r="O97" s="63">
        <f>SUM(InnovationProjectResults[[#This Row],[Design - Teamwork (CV)]:[Iterate - Sharing]])</f>
        <v>0</v>
      </c>
    </row>
    <row r="98" spans="1:15" ht="30" customHeight="1" x14ac:dyDescent="0.3">
      <c r="A98" s="115"/>
      <c r="B98" s="116" t="str">
        <f>IF(ISNA(INDEX(OfficialTeamList[Team Name],MATCH(InnovationProjectResults[[#This Row],[Team Number]], OfficialTeamList[Team Number],0))),"",INDEX(OfficialTeamList[Team Name],MATCH(InnovationProjectResults[[#This Row],[Team Number]], OfficialTeamList[Team Number],0)))</f>
        <v/>
      </c>
      <c r="C98" s="115"/>
      <c r="D98" s="115"/>
      <c r="E98" s="115"/>
      <c r="F98" s="115"/>
      <c r="G98" s="115"/>
      <c r="H98" s="115"/>
      <c r="I98" s="115"/>
      <c r="J98" s="115"/>
      <c r="K98" s="115"/>
      <c r="L98" s="115"/>
      <c r="M98" s="61">
        <f>SUM(InnovationProjectResults[[#This Row],[Identify - Define]:[Communicate - Fun (CV)]])</f>
        <v>0</v>
      </c>
      <c r="N98" s="56">
        <f>IF(InnovationProjectResults[[#This Row],[Team Number]]&gt;0,MIN(_xlfn.RANK.EQ(InnovationProjectResults[[#This Row],[Innovation Project Score]],InnovationProjectResults[Innovation Project Score],0),NumberOfTeams),NumberOfTeams+1)</f>
        <v>1</v>
      </c>
      <c r="O98" s="63">
        <f>SUM(InnovationProjectResults[[#This Row],[Design - Teamwork (CV)]:[Iterate - Sharing]])</f>
        <v>0</v>
      </c>
    </row>
    <row r="99" spans="1:15" ht="30" customHeight="1" x14ac:dyDescent="0.3">
      <c r="A99" s="115"/>
      <c r="B99" s="116" t="str">
        <f>IF(ISNA(INDEX(OfficialTeamList[Team Name],MATCH(InnovationProjectResults[[#This Row],[Team Number]], OfficialTeamList[Team Number],0))),"",INDEX(OfficialTeamList[Team Name],MATCH(InnovationProjectResults[[#This Row],[Team Number]], OfficialTeamList[Team Number],0)))</f>
        <v/>
      </c>
      <c r="C99" s="115"/>
      <c r="D99" s="115"/>
      <c r="E99" s="115"/>
      <c r="F99" s="115"/>
      <c r="G99" s="115"/>
      <c r="H99" s="115"/>
      <c r="I99" s="115"/>
      <c r="J99" s="115"/>
      <c r="K99" s="115"/>
      <c r="L99" s="115"/>
      <c r="M99" s="61">
        <f>SUM(InnovationProjectResults[[#This Row],[Identify - Define]:[Communicate - Fun (CV)]])</f>
        <v>0</v>
      </c>
      <c r="N99" s="56">
        <f>IF(InnovationProjectResults[[#This Row],[Team Number]]&gt;0,MIN(_xlfn.RANK.EQ(InnovationProjectResults[[#This Row],[Innovation Project Score]],InnovationProjectResults[Innovation Project Score],0),NumberOfTeams),NumberOfTeams+1)</f>
        <v>1</v>
      </c>
      <c r="O99" s="63">
        <f>SUM(InnovationProjectResults[[#This Row],[Design - Teamwork (CV)]:[Iterate - Sharing]])</f>
        <v>0</v>
      </c>
    </row>
    <row r="100" spans="1:15" ht="30" customHeight="1" x14ac:dyDescent="0.3">
      <c r="A100" s="115"/>
      <c r="B100" s="116" t="str">
        <f>IF(ISNA(INDEX(OfficialTeamList[Team Name],MATCH(InnovationProjectResults[[#This Row],[Team Number]], OfficialTeamList[Team Number],0))),"",INDEX(OfficialTeamList[Team Name],MATCH(InnovationProjectResults[[#This Row],[Team Number]], OfficialTeamList[Team Number],0)))</f>
        <v/>
      </c>
      <c r="C100" s="115"/>
      <c r="D100" s="115"/>
      <c r="E100" s="115"/>
      <c r="F100" s="115"/>
      <c r="G100" s="115"/>
      <c r="H100" s="115"/>
      <c r="I100" s="115"/>
      <c r="J100" s="115"/>
      <c r="K100" s="115"/>
      <c r="L100" s="115"/>
      <c r="M100" s="61">
        <f>SUM(InnovationProjectResults[[#This Row],[Identify - Define]:[Communicate - Fun (CV)]])</f>
        <v>0</v>
      </c>
      <c r="N100" s="56">
        <f>IF(InnovationProjectResults[[#This Row],[Team Number]]&gt;0,MIN(_xlfn.RANK.EQ(InnovationProjectResults[[#This Row],[Innovation Project Score]],InnovationProjectResults[Innovation Project Score],0),NumberOfTeams),NumberOfTeams+1)</f>
        <v>1</v>
      </c>
      <c r="O100" s="63">
        <f>SUM(InnovationProjectResults[[#This Row],[Design - Teamwork (CV)]:[Iterate - Sharing]])</f>
        <v>0</v>
      </c>
    </row>
    <row r="101" spans="1:15" ht="30" customHeight="1" x14ac:dyDescent="0.3">
      <c r="A101" s="115"/>
      <c r="B101" s="116" t="str">
        <f>IF(ISNA(INDEX(OfficialTeamList[Team Name],MATCH(InnovationProjectResults[[#This Row],[Team Number]], OfficialTeamList[Team Number],0))),"",INDEX(OfficialTeamList[Team Name],MATCH(InnovationProjectResults[[#This Row],[Team Number]], OfficialTeamList[Team Number],0)))</f>
        <v/>
      </c>
      <c r="C101" s="115"/>
      <c r="D101" s="115"/>
      <c r="E101" s="115"/>
      <c r="F101" s="115"/>
      <c r="G101" s="115"/>
      <c r="H101" s="115"/>
      <c r="I101" s="115"/>
      <c r="J101" s="115"/>
      <c r="K101" s="115"/>
      <c r="L101" s="115"/>
      <c r="M101" s="61">
        <f>SUM(InnovationProjectResults[[#This Row],[Identify - Define]:[Communicate - Fun (CV)]])</f>
        <v>0</v>
      </c>
      <c r="N101" s="56">
        <f>IF(InnovationProjectResults[[#This Row],[Team Number]]&gt;0,MIN(_xlfn.RANK.EQ(InnovationProjectResults[[#This Row],[Innovation Project Score]],InnovationProjectResults[Innovation Project Score],0),NumberOfTeams),NumberOfTeams+1)</f>
        <v>1</v>
      </c>
      <c r="O101" s="63">
        <f>SUM(InnovationProjectResults[[#This Row],[Design - Teamwork (CV)]:[Iterate - Sharing]])</f>
        <v>0</v>
      </c>
    </row>
    <row r="102" spans="1:15" ht="30" customHeight="1" x14ac:dyDescent="0.3">
      <c r="A102" s="115"/>
      <c r="B102" s="116" t="str">
        <f>IF(ISNA(INDEX(OfficialTeamList[Team Name],MATCH(InnovationProjectResults[[#This Row],[Team Number]], OfficialTeamList[Team Number],0))),"",INDEX(OfficialTeamList[Team Name],MATCH(InnovationProjectResults[[#This Row],[Team Number]], OfficialTeamList[Team Number],0)))</f>
        <v/>
      </c>
      <c r="C102" s="115"/>
      <c r="D102" s="115"/>
      <c r="E102" s="115"/>
      <c r="F102" s="115"/>
      <c r="G102" s="115"/>
      <c r="H102" s="115"/>
      <c r="I102" s="115"/>
      <c r="J102" s="115"/>
      <c r="K102" s="115"/>
      <c r="L102" s="115"/>
      <c r="M102" s="61">
        <f>SUM(InnovationProjectResults[[#This Row],[Identify - Define]:[Communicate - Fun (CV)]])</f>
        <v>0</v>
      </c>
      <c r="N102" s="56">
        <f>IF(InnovationProjectResults[[#This Row],[Team Number]]&gt;0,MIN(_xlfn.RANK.EQ(InnovationProjectResults[[#This Row],[Innovation Project Score]],InnovationProjectResults[Innovation Project Score],0),NumberOfTeams),NumberOfTeams+1)</f>
        <v>1</v>
      </c>
      <c r="O102" s="63">
        <f>SUM(InnovationProjectResults[[#This Row],[Design - Teamwork (CV)]:[Iterate - Sharing]])</f>
        <v>0</v>
      </c>
    </row>
    <row r="103" spans="1:15" ht="30" customHeight="1" x14ac:dyDescent="0.3">
      <c r="A103" s="115"/>
      <c r="B103" s="116" t="str">
        <f>IF(ISNA(INDEX(OfficialTeamList[Team Name],MATCH(InnovationProjectResults[[#This Row],[Team Number]], OfficialTeamList[Team Number],0))),"",INDEX(OfficialTeamList[Team Name],MATCH(InnovationProjectResults[[#This Row],[Team Number]], OfficialTeamList[Team Number],0)))</f>
        <v/>
      </c>
      <c r="C103" s="115"/>
      <c r="D103" s="115"/>
      <c r="E103" s="115"/>
      <c r="F103" s="115"/>
      <c r="G103" s="115"/>
      <c r="H103" s="115"/>
      <c r="I103" s="115"/>
      <c r="J103" s="115"/>
      <c r="K103" s="115"/>
      <c r="L103" s="115"/>
      <c r="M103" s="61">
        <f>SUM(InnovationProjectResults[[#This Row],[Identify - Define]:[Communicate - Fun (CV)]])</f>
        <v>0</v>
      </c>
      <c r="N103" s="56">
        <f>IF(InnovationProjectResults[[#This Row],[Team Number]]&gt;0,MIN(_xlfn.RANK.EQ(InnovationProjectResults[[#This Row],[Innovation Project Score]],InnovationProjectResults[Innovation Project Score],0),NumberOfTeams),NumberOfTeams+1)</f>
        <v>1</v>
      </c>
      <c r="O103" s="63">
        <f>SUM(InnovationProjectResults[[#This Row],[Design - Teamwork (CV)]:[Iterate - Sharing]])</f>
        <v>0</v>
      </c>
    </row>
    <row r="104" spans="1:15" ht="30" customHeight="1" x14ac:dyDescent="0.3">
      <c r="A104" s="115"/>
      <c r="B104" s="116" t="str">
        <f>IF(ISNA(INDEX(OfficialTeamList[Team Name],MATCH(InnovationProjectResults[[#This Row],[Team Number]], OfficialTeamList[Team Number],0))),"",INDEX(OfficialTeamList[Team Name],MATCH(InnovationProjectResults[[#This Row],[Team Number]], OfficialTeamList[Team Number],0)))</f>
        <v/>
      </c>
      <c r="C104" s="115"/>
      <c r="D104" s="115"/>
      <c r="E104" s="115"/>
      <c r="F104" s="115"/>
      <c r="G104" s="115"/>
      <c r="H104" s="115"/>
      <c r="I104" s="115"/>
      <c r="J104" s="115"/>
      <c r="K104" s="115"/>
      <c r="L104" s="115"/>
      <c r="M104" s="61">
        <f>SUM(InnovationProjectResults[[#This Row],[Identify - Define]:[Communicate - Fun (CV)]])</f>
        <v>0</v>
      </c>
      <c r="N104" s="56">
        <f>IF(InnovationProjectResults[[#This Row],[Team Number]]&gt;0,MIN(_xlfn.RANK.EQ(InnovationProjectResults[[#This Row],[Innovation Project Score]],InnovationProjectResults[Innovation Project Score],0),NumberOfTeams),NumberOfTeams+1)</f>
        <v>1</v>
      </c>
      <c r="O104" s="63">
        <f>SUM(InnovationProjectResults[[#This Row],[Design - Teamwork (CV)]:[Iterate - Sharing]])</f>
        <v>0</v>
      </c>
    </row>
    <row r="105" spans="1:15" ht="30" customHeight="1" x14ac:dyDescent="0.3">
      <c r="A105" s="115"/>
      <c r="B105" s="116" t="str">
        <f>IF(ISNA(INDEX(OfficialTeamList[Team Name],MATCH(InnovationProjectResults[[#This Row],[Team Number]], OfficialTeamList[Team Number],0))),"",INDEX(OfficialTeamList[Team Name],MATCH(InnovationProjectResults[[#This Row],[Team Number]], OfficialTeamList[Team Number],0)))</f>
        <v/>
      </c>
      <c r="C105" s="115"/>
      <c r="D105" s="115"/>
      <c r="E105" s="115"/>
      <c r="F105" s="115"/>
      <c r="G105" s="115"/>
      <c r="H105" s="115"/>
      <c r="I105" s="115"/>
      <c r="J105" s="115"/>
      <c r="K105" s="115"/>
      <c r="L105" s="115"/>
      <c r="M105" s="61">
        <f>SUM(InnovationProjectResults[[#This Row],[Identify - Define]:[Communicate - Fun (CV)]])</f>
        <v>0</v>
      </c>
      <c r="N105" s="56">
        <f>IF(InnovationProjectResults[[#This Row],[Team Number]]&gt;0,MIN(_xlfn.RANK.EQ(InnovationProjectResults[[#This Row],[Innovation Project Score]],InnovationProjectResults[Innovation Project Score],0),NumberOfTeams),NumberOfTeams+1)</f>
        <v>1</v>
      </c>
      <c r="O105" s="63">
        <f>SUM(InnovationProjectResults[[#This Row],[Design - Teamwork (CV)]:[Iterate - Sharing]])</f>
        <v>0</v>
      </c>
    </row>
    <row r="106" spans="1:15" ht="30" customHeight="1" x14ac:dyDescent="0.3">
      <c r="A106" s="115"/>
      <c r="B106" s="116" t="str">
        <f>IF(ISNA(INDEX(OfficialTeamList[Team Name],MATCH(InnovationProjectResults[[#This Row],[Team Number]], OfficialTeamList[Team Number],0))),"",INDEX(OfficialTeamList[Team Name],MATCH(InnovationProjectResults[[#This Row],[Team Number]], OfficialTeamList[Team Number],0)))</f>
        <v/>
      </c>
      <c r="C106" s="115"/>
      <c r="D106" s="115"/>
      <c r="E106" s="115"/>
      <c r="F106" s="115"/>
      <c r="G106" s="115"/>
      <c r="H106" s="115"/>
      <c r="I106" s="115"/>
      <c r="J106" s="115"/>
      <c r="K106" s="115"/>
      <c r="L106" s="115"/>
      <c r="M106" s="61">
        <f>SUM(InnovationProjectResults[[#This Row],[Identify - Define]:[Communicate - Fun (CV)]])</f>
        <v>0</v>
      </c>
      <c r="N106" s="56">
        <f>IF(InnovationProjectResults[[#This Row],[Team Number]]&gt;0,MIN(_xlfn.RANK.EQ(InnovationProjectResults[[#This Row],[Innovation Project Score]],InnovationProjectResults[Innovation Project Score],0),NumberOfTeams),NumberOfTeams+1)</f>
        <v>1</v>
      </c>
      <c r="O106" s="63">
        <f>SUM(InnovationProjectResults[[#This Row],[Design - Teamwork (CV)]:[Iterate - Sharing]])</f>
        <v>0</v>
      </c>
    </row>
    <row r="107" spans="1:15" ht="30" customHeight="1" x14ac:dyDescent="0.3">
      <c r="A107" s="115"/>
      <c r="B107" s="116" t="str">
        <f>IF(ISNA(INDEX(OfficialTeamList[Team Name],MATCH(InnovationProjectResults[[#This Row],[Team Number]], OfficialTeamList[Team Number],0))),"",INDEX(OfficialTeamList[Team Name],MATCH(InnovationProjectResults[[#This Row],[Team Number]], OfficialTeamList[Team Number],0)))</f>
        <v/>
      </c>
      <c r="C107" s="115"/>
      <c r="D107" s="115"/>
      <c r="E107" s="115"/>
      <c r="F107" s="115"/>
      <c r="G107" s="115"/>
      <c r="H107" s="115"/>
      <c r="I107" s="115"/>
      <c r="J107" s="115"/>
      <c r="K107" s="115"/>
      <c r="L107" s="115"/>
      <c r="M107" s="61">
        <f>SUM(InnovationProjectResults[[#This Row],[Identify - Define]:[Communicate - Fun (CV)]])</f>
        <v>0</v>
      </c>
      <c r="N107" s="56">
        <f>IF(InnovationProjectResults[[#This Row],[Team Number]]&gt;0,MIN(_xlfn.RANK.EQ(InnovationProjectResults[[#This Row],[Innovation Project Score]],InnovationProjectResults[Innovation Project Score],0),NumberOfTeams),NumberOfTeams+1)</f>
        <v>1</v>
      </c>
      <c r="O107" s="63">
        <f>SUM(InnovationProjectResults[[#This Row],[Design - Teamwork (CV)]:[Iterate - Sharing]])</f>
        <v>0</v>
      </c>
    </row>
    <row r="108" spans="1:15" ht="30" customHeight="1" x14ac:dyDescent="0.3">
      <c r="A108" s="115"/>
      <c r="B108" s="116" t="str">
        <f>IF(ISNA(INDEX(OfficialTeamList[Team Name],MATCH(InnovationProjectResults[[#This Row],[Team Number]], OfficialTeamList[Team Number],0))),"",INDEX(OfficialTeamList[Team Name],MATCH(InnovationProjectResults[[#This Row],[Team Number]], OfficialTeamList[Team Number],0)))</f>
        <v/>
      </c>
      <c r="C108" s="115"/>
      <c r="D108" s="115"/>
      <c r="E108" s="115"/>
      <c r="F108" s="115"/>
      <c r="G108" s="115"/>
      <c r="H108" s="115"/>
      <c r="I108" s="115"/>
      <c r="J108" s="115"/>
      <c r="K108" s="115"/>
      <c r="L108" s="115"/>
      <c r="M108" s="61">
        <f>SUM(InnovationProjectResults[[#This Row],[Identify - Define]:[Communicate - Fun (CV)]])</f>
        <v>0</v>
      </c>
      <c r="N108" s="56">
        <f>IF(InnovationProjectResults[[#This Row],[Team Number]]&gt;0,MIN(_xlfn.RANK.EQ(InnovationProjectResults[[#This Row],[Innovation Project Score]],InnovationProjectResults[Innovation Project Score],0),NumberOfTeams),NumberOfTeams+1)</f>
        <v>1</v>
      </c>
      <c r="O108" s="63">
        <f>SUM(InnovationProjectResults[[#This Row],[Design - Teamwork (CV)]:[Iterate - Sharing]])</f>
        <v>0</v>
      </c>
    </row>
    <row r="109" spans="1:15" ht="30" customHeight="1" x14ac:dyDescent="0.3">
      <c r="A109" s="115"/>
      <c r="B109" s="116" t="str">
        <f>IF(ISNA(INDEX(OfficialTeamList[Team Name],MATCH(InnovationProjectResults[[#This Row],[Team Number]], OfficialTeamList[Team Number],0))),"",INDEX(OfficialTeamList[Team Name],MATCH(InnovationProjectResults[[#This Row],[Team Number]], OfficialTeamList[Team Number],0)))</f>
        <v/>
      </c>
      <c r="C109" s="115"/>
      <c r="D109" s="115"/>
      <c r="E109" s="115"/>
      <c r="F109" s="115"/>
      <c r="G109" s="115"/>
      <c r="H109" s="115"/>
      <c r="I109" s="115"/>
      <c r="J109" s="115"/>
      <c r="K109" s="115"/>
      <c r="L109" s="115"/>
      <c r="M109" s="61">
        <f>SUM(InnovationProjectResults[[#This Row],[Identify - Define]:[Communicate - Fun (CV)]])</f>
        <v>0</v>
      </c>
      <c r="N109" s="56">
        <f>IF(InnovationProjectResults[[#This Row],[Team Number]]&gt;0,MIN(_xlfn.RANK.EQ(InnovationProjectResults[[#This Row],[Innovation Project Score]],InnovationProjectResults[Innovation Project Score],0),NumberOfTeams),NumberOfTeams+1)</f>
        <v>1</v>
      </c>
      <c r="O109" s="63">
        <f>SUM(InnovationProjectResults[[#This Row],[Design - Teamwork (CV)]:[Iterate - Sharing]])</f>
        <v>0</v>
      </c>
    </row>
  </sheetData>
  <sheetProtection selectLockedCells="1" sort="0" autoFilter="0"/>
  <protectedRanges>
    <protectedRange sqref="M1:O1048576 A1:XFD1 B1:B1048576" name="AllowIPSort"/>
  </protectedRanges>
  <phoneticPr fontId="18" type="noConversion"/>
  <conditionalFormatting sqref="A4:N109 M2:N2 C3:N3 A2:B3">
    <cfRule type="expression" dxfId="126" priority="9">
      <formula>MOD(ROW(),2)</formula>
    </cfRule>
  </conditionalFormatting>
  <conditionalFormatting sqref="A4:N109 M2:N2 C3:N3 A2:B3">
    <cfRule type="expression" dxfId="125" priority="7">
      <formula>ROW()-NumberOfTeams=1</formula>
    </cfRule>
  </conditionalFormatting>
  <conditionalFormatting sqref="O2:O109">
    <cfRule type="expression" dxfId="124" priority="4">
      <formula>MOD(ROW(),2)</formula>
    </cfRule>
  </conditionalFormatting>
  <conditionalFormatting sqref="O2:O109">
    <cfRule type="expression" dxfId="123" priority="3">
      <formula>ROW()-NumberOfTeams=1</formula>
    </cfRule>
  </conditionalFormatting>
  <conditionalFormatting sqref="C2:L2">
    <cfRule type="expression" dxfId="122" priority="2">
      <formula>MOD(ROW(),2)</formula>
    </cfRule>
  </conditionalFormatting>
  <conditionalFormatting sqref="C2:L2">
    <cfRule type="expression" dxfId="121" priority="1">
      <formula>ROW()-NumberOfTeams=1</formula>
    </cfRule>
  </conditionalFormatting>
  <printOptions horizontalCentered="1"/>
  <pageMargins left="0.25" right="0.25" top="0.75" bottom="0.75" header="0.3" footer="0.3"/>
  <pageSetup scale="69" fitToHeight="0" orientation="portrait" horizontalDpi="1200" verticalDpi="1200" r:id="rId1"/>
  <headerFooter>
    <oddHeader>&amp;C&amp;"-,Bold"&amp;36Inovation Project Input</oddHead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92D050"/>
    <pageSetUpPr fitToPage="1"/>
  </sheetPr>
  <dimension ref="A1:O109"/>
  <sheetViews>
    <sheetView showZeros="0" tabSelected="1" zoomScaleNormal="100" zoomScalePageLayoutView="130" workbookViewId="0">
      <selection activeCell="J5" sqref="J5"/>
    </sheetView>
  </sheetViews>
  <sheetFormatPr defaultColWidth="8.44140625" defaultRowHeight="30" customHeight="1" x14ac:dyDescent="0.3"/>
  <cols>
    <col min="1" max="1" width="15.44140625" customWidth="1"/>
    <col min="2" max="2" width="32.44140625" customWidth="1"/>
    <col min="3" max="12" width="7.44140625" customWidth="1"/>
    <col min="13" max="13" width="10.44140625" customWidth="1"/>
    <col min="14" max="14" width="15.44140625" customWidth="1"/>
    <col min="15" max="15" width="8.44140625" style="84"/>
  </cols>
  <sheetData>
    <row r="1" spans="1:14" ht="170.25" customHeight="1" x14ac:dyDescent="0.3">
      <c r="A1" s="52" t="s">
        <v>9</v>
      </c>
      <c r="B1" s="53" t="s">
        <v>10</v>
      </c>
      <c r="C1" s="117" t="s">
        <v>81</v>
      </c>
      <c r="D1" s="117" t="s">
        <v>115</v>
      </c>
      <c r="E1" s="117" t="s">
        <v>120</v>
      </c>
      <c r="F1" s="117" t="s">
        <v>112</v>
      </c>
      <c r="G1" s="117" t="s">
        <v>102</v>
      </c>
      <c r="H1" s="117" t="s">
        <v>103</v>
      </c>
      <c r="I1" s="117" t="s">
        <v>82</v>
      </c>
      <c r="J1" s="117" t="s">
        <v>121</v>
      </c>
      <c r="K1" s="117" t="s">
        <v>118</v>
      </c>
      <c r="L1" s="117" t="s">
        <v>119</v>
      </c>
      <c r="M1" s="92" t="s">
        <v>43</v>
      </c>
      <c r="N1" s="93" t="s">
        <v>32</v>
      </c>
    </row>
    <row r="2" spans="1:14" ht="30" customHeight="1" x14ac:dyDescent="0.3">
      <c r="A2" s="115"/>
      <c r="B2" s="116" t="str">
        <f>IF(ISNA(INDEX(OfficialTeamList[Team Name],MATCH(RobotDesignResults[[#This Row],[Team Number]], OfficialTeamList[Team Number],0))),"",INDEX(OfficialTeamList[Team Name],MATCH(RobotDesignResults[[#This Row],[Team Number]], OfficialTeamList[Team Number],0)))</f>
        <v/>
      </c>
      <c r="C2" s="115"/>
      <c r="D2" s="115"/>
      <c r="E2" s="115"/>
      <c r="F2" s="115"/>
      <c r="G2" s="115"/>
      <c r="H2" s="115"/>
      <c r="I2" s="115"/>
      <c r="J2" s="115"/>
      <c r="K2" s="115"/>
      <c r="L2" s="115"/>
      <c r="M2" s="61">
        <f>SUM(RobotDesignResults[[#This Row],[Identify - Strategy]:[Communicate - Fun (CV)]])</f>
        <v>0</v>
      </c>
      <c r="N2" s="56">
        <f>IF(RobotDesignResults[[#This Row],[Team Number]]&gt;0,MIN(_xlfn.RANK.EQ(RobotDesignResults[[#This Row],[Robot Design Score]],RobotDesignResults[Robot Design Score],0),NumberOfTeams),NumberOfTeams+1)</f>
        <v>1</v>
      </c>
    </row>
    <row r="3" spans="1:14" ht="30" customHeight="1" x14ac:dyDescent="0.3">
      <c r="A3" s="115"/>
      <c r="B3" s="116" t="str">
        <f>IF(ISNA(INDEX(OfficialTeamList[Team Name],MATCH(RobotDesignResults[[#This Row],[Team Number]], OfficialTeamList[Team Number],0))),"",INDEX(OfficialTeamList[Team Name],MATCH(RobotDesignResults[[#This Row],[Team Number]], OfficialTeamList[Team Number],0)))</f>
        <v/>
      </c>
      <c r="C3" s="115"/>
      <c r="D3" s="115"/>
      <c r="E3" s="115"/>
      <c r="F3" s="115"/>
      <c r="G3" s="115"/>
      <c r="H3" s="115"/>
      <c r="I3" s="115"/>
      <c r="J3" s="115"/>
      <c r="K3" s="115"/>
      <c r="L3" s="115"/>
      <c r="M3" s="61">
        <f>SUM(RobotDesignResults[[#This Row],[Identify - Strategy]:[Communicate - Fun (CV)]])</f>
        <v>0</v>
      </c>
      <c r="N3" s="56">
        <f>IF(RobotDesignResults[[#This Row],[Team Number]]&gt;0,MIN(_xlfn.RANK.EQ(RobotDesignResults[[#This Row],[Robot Design Score]],RobotDesignResults[Robot Design Score],0),NumberOfTeams),NumberOfTeams+1)</f>
        <v>1</v>
      </c>
    </row>
    <row r="4" spans="1:14" ht="30" customHeight="1" x14ac:dyDescent="0.3">
      <c r="A4" s="115"/>
      <c r="B4" s="116" t="str">
        <f>IF(ISNA(INDEX(OfficialTeamList[Team Name],MATCH(RobotDesignResults[[#This Row],[Team Number]], OfficialTeamList[Team Number],0))),"",INDEX(OfficialTeamList[Team Name],MATCH(RobotDesignResults[[#This Row],[Team Number]], OfficialTeamList[Team Number],0)))</f>
        <v/>
      </c>
      <c r="C4" s="115"/>
      <c r="D4" s="115"/>
      <c r="E4" s="115"/>
      <c r="F4" s="115"/>
      <c r="G4" s="115"/>
      <c r="H4" s="115"/>
      <c r="I4" s="115"/>
      <c r="J4" s="115"/>
      <c r="K4" s="115"/>
      <c r="L4" s="115"/>
      <c r="M4" s="61">
        <f>SUM(RobotDesignResults[[#This Row],[Identify - Strategy]:[Communicate - Fun (CV)]])</f>
        <v>0</v>
      </c>
      <c r="N4" s="56">
        <f>IF(RobotDesignResults[[#This Row],[Team Number]]&gt;0,MIN(_xlfn.RANK.EQ(RobotDesignResults[[#This Row],[Robot Design Score]],RobotDesignResults[Robot Design Score],0),NumberOfTeams),NumberOfTeams+1)</f>
        <v>1</v>
      </c>
    </row>
    <row r="5" spans="1:14" ht="30" customHeight="1" x14ac:dyDescent="0.3">
      <c r="A5" s="115"/>
      <c r="B5" s="116" t="str">
        <f>IF(ISNA(INDEX(OfficialTeamList[Team Name],MATCH(RobotDesignResults[[#This Row],[Team Number]], OfficialTeamList[Team Number],0))),"",INDEX(OfficialTeamList[Team Name],MATCH(RobotDesignResults[[#This Row],[Team Number]], OfficialTeamList[Team Number],0)))</f>
        <v/>
      </c>
      <c r="C5" s="115"/>
      <c r="D5" s="115"/>
      <c r="E5" s="115"/>
      <c r="F5" s="115"/>
      <c r="G5" s="115"/>
      <c r="H5" s="115"/>
      <c r="I5" s="115"/>
      <c r="J5" s="115"/>
      <c r="K5" s="115"/>
      <c r="L5" s="115"/>
      <c r="M5" s="61">
        <f>SUM(RobotDesignResults[[#This Row],[Identify - Strategy]:[Communicate - Fun (CV)]])</f>
        <v>0</v>
      </c>
      <c r="N5" s="56">
        <f>IF(RobotDesignResults[[#This Row],[Team Number]]&gt;0,MIN(_xlfn.RANK.EQ(RobotDesignResults[[#This Row],[Robot Design Score]],RobotDesignResults[Robot Design Score],0),NumberOfTeams),NumberOfTeams+1)</f>
        <v>1</v>
      </c>
    </row>
    <row r="6" spans="1:14" ht="30" customHeight="1" x14ac:dyDescent="0.3">
      <c r="A6" s="115"/>
      <c r="B6" s="116" t="str">
        <f>IF(ISNA(INDEX(OfficialTeamList[Team Name],MATCH(RobotDesignResults[[#This Row],[Team Number]], OfficialTeamList[Team Number],0))),"",INDEX(OfficialTeamList[Team Name],MATCH(RobotDesignResults[[#This Row],[Team Number]], OfficialTeamList[Team Number],0)))</f>
        <v/>
      </c>
      <c r="C6" s="115"/>
      <c r="D6" s="115"/>
      <c r="E6" s="115"/>
      <c r="F6" s="115"/>
      <c r="G6" s="115"/>
      <c r="H6" s="115"/>
      <c r="I6" s="115"/>
      <c r="J6" s="115"/>
      <c r="K6" s="115"/>
      <c r="L6" s="115"/>
      <c r="M6" s="61">
        <f>SUM(RobotDesignResults[[#This Row],[Identify - Strategy]:[Communicate - Fun (CV)]])</f>
        <v>0</v>
      </c>
      <c r="N6" s="56">
        <f>IF(RobotDesignResults[[#This Row],[Team Number]]&gt;0,MIN(_xlfn.RANK.EQ(RobotDesignResults[[#This Row],[Robot Design Score]],RobotDesignResults[Robot Design Score],0),NumberOfTeams),NumberOfTeams+1)</f>
        <v>1</v>
      </c>
    </row>
    <row r="7" spans="1:14" ht="30" customHeight="1" x14ac:dyDescent="0.3">
      <c r="A7" s="115"/>
      <c r="B7" s="116" t="str">
        <f>IF(ISNA(INDEX(OfficialTeamList[Team Name],MATCH(RobotDesignResults[[#This Row],[Team Number]], OfficialTeamList[Team Number],0))),"",INDEX(OfficialTeamList[Team Name],MATCH(RobotDesignResults[[#This Row],[Team Number]], OfficialTeamList[Team Number],0)))</f>
        <v/>
      </c>
      <c r="C7" s="115"/>
      <c r="D7" s="115"/>
      <c r="E7" s="115"/>
      <c r="F7" s="115"/>
      <c r="G7" s="115"/>
      <c r="H7" s="115"/>
      <c r="I7" s="115"/>
      <c r="J7" s="115"/>
      <c r="K7" s="115"/>
      <c r="L7" s="115"/>
      <c r="M7" s="61">
        <f>SUM(RobotDesignResults[[#This Row],[Identify - Strategy]:[Communicate - Fun (CV)]])</f>
        <v>0</v>
      </c>
      <c r="N7" s="56">
        <f>IF(RobotDesignResults[[#This Row],[Team Number]]&gt;0,MIN(_xlfn.RANK.EQ(RobotDesignResults[[#This Row],[Robot Design Score]],RobotDesignResults[Robot Design Score],0),NumberOfTeams),NumberOfTeams+1)</f>
        <v>1</v>
      </c>
    </row>
    <row r="8" spans="1:14" ht="30" customHeight="1" x14ac:dyDescent="0.3">
      <c r="A8" s="115"/>
      <c r="B8" s="116" t="str">
        <f>IF(ISNA(INDEX(OfficialTeamList[Team Name],MATCH(RobotDesignResults[[#This Row],[Team Number]], OfficialTeamList[Team Number],0))),"",INDEX(OfficialTeamList[Team Name],MATCH(RobotDesignResults[[#This Row],[Team Number]], OfficialTeamList[Team Number],0)))</f>
        <v/>
      </c>
      <c r="C8" s="115"/>
      <c r="D8" s="115"/>
      <c r="E8" s="115"/>
      <c r="F8" s="115"/>
      <c r="G8" s="115"/>
      <c r="H8" s="115"/>
      <c r="I8" s="115"/>
      <c r="J8" s="115"/>
      <c r="K8" s="115"/>
      <c r="L8" s="115"/>
      <c r="M8" s="61">
        <f>SUM(RobotDesignResults[[#This Row],[Identify - Strategy]:[Communicate - Fun (CV)]])</f>
        <v>0</v>
      </c>
      <c r="N8" s="56">
        <f>IF(RobotDesignResults[[#This Row],[Team Number]]&gt;0,MIN(_xlfn.RANK.EQ(RobotDesignResults[[#This Row],[Robot Design Score]],RobotDesignResults[Robot Design Score],0),NumberOfTeams),NumberOfTeams+1)</f>
        <v>1</v>
      </c>
    </row>
    <row r="9" spans="1:14" ht="30" customHeight="1" x14ac:dyDescent="0.3">
      <c r="A9" s="115"/>
      <c r="B9" s="116" t="str">
        <f>IF(ISNA(INDEX(OfficialTeamList[Team Name],MATCH(RobotDesignResults[[#This Row],[Team Number]], OfficialTeamList[Team Number],0))),"",INDEX(OfficialTeamList[Team Name],MATCH(RobotDesignResults[[#This Row],[Team Number]], OfficialTeamList[Team Number],0)))</f>
        <v/>
      </c>
      <c r="C9" s="115"/>
      <c r="D9" s="115"/>
      <c r="E9" s="115"/>
      <c r="F9" s="115"/>
      <c r="G9" s="115"/>
      <c r="H9" s="115"/>
      <c r="I9" s="115"/>
      <c r="J9" s="115"/>
      <c r="K9" s="115"/>
      <c r="L9" s="115"/>
      <c r="M9" s="61">
        <f>SUM(RobotDesignResults[[#This Row],[Identify - Strategy]:[Communicate - Fun (CV)]])</f>
        <v>0</v>
      </c>
      <c r="N9" s="56">
        <f>IF(RobotDesignResults[[#This Row],[Team Number]]&gt;0,MIN(_xlfn.RANK.EQ(RobotDesignResults[[#This Row],[Robot Design Score]],RobotDesignResults[Robot Design Score],0),NumberOfTeams),NumberOfTeams+1)</f>
        <v>1</v>
      </c>
    </row>
    <row r="10" spans="1:14" ht="30" customHeight="1" x14ac:dyDescent="0.3">
      <c r="A10" s="115"/>
      <c r="B10" s="116" t="str">
        <f>IF(ISNA(INDEX(OfficialTeamList[Team Name],MATCH(RobotDesignResults[[#This Row],[Team Number]], OfficialTeamList[Team Number],0))),"",INDEX(OfficialTeamList[Team Name],MATCH(RobotDesignResults[[#This Row],[Team Number]], OfficialTeamList[Team Number],0)))</f>
        <v/>
      </c>
      <c r="C10" s="115"/>
      <c r="D10" s="115"/>
      <c r="E10" s="115"/>
      <c r="F10" s="115"/>
      <c r="G10" s="115"/>
      <c r="H10" s="115"/>
      <c r="I10" s="115"/>
      <c r="J10" s="115"/>
      <c r="K10" s="115"/>
      <c r="L10" s="115"/>
      <c r="M10" s="61">
        <f>SUM(RobotDesignResults[[#This Row],[Identify - Strategy]:[Communicate - Fun (CV)]])</f>
        <v>0</v>
      </c>
      <c r="N10" s="56">
        <f>IF(RobotDesignResults[[#This Row],[Team Number]]&gt;0,MIN(_xlfn.RANK.EQ(RobotDesignResults[[#This Row],[Robot Design Score]],RobotDesignResults[Robot Design Score],0),NumberOfTeams),NumberOfTeams+1)</f>
        <v>1</v>
      </c>
    </row>
    <row r="11" spans="1:14" ht="30" customHeight="1" x14ac:dyDescent="0.3">
      <c r="A11" s="115"/>
      <c r="B11" s="116" t="str">
        <f>IF(ISNA(INDEX(OfficialTeamList[Team Name],MATCH(RobotDesignResults[[#This Row],[Team Number]], OfficialTeamList[Team Number],0))),"",INDEX(OfficialTeamList[Team Name],MATCH(RobotDesignResults[[#This Row],[Team Number]], OfficialTeamList[Team Number],0)))</f>
        <v/>
      </c>
      <c r="C11" s="115"/>
      <c r="D11" s="115"/>
      <c r="E11" s="115"/>
      <c r="F11" s="115"/>
      <c r="G11" s="115"/>
      <c r="H11" s="115"/>
      <c r="I11" s="115"/>
      <c r="J11" s="115"/>
      <c r="K11" s="115"/>
      <c r="L11" s="115"/>
      <c r="M11" s="61">
        <f>SUM(RobotDesignResults[[#This Row],[Identify - Strategy]:[Communicate - Fun (CV)]])</f>
        <v>0</v>
      </c>
      <c r="N11" s="56">
        <f>IF(RobotDesignResults[[#This Row],[Team Number]]&gt;0,MIN(_xlfn.RANK.EQ(RobotDesignResults[[#This Row],[Robot Design Score]],RobotDesignResults[Robot Design Score],0),NumberOfTeams),NumberOfTeams+1)</f>
        <v>1</v>
      </c>
    </row>
    <row r="12" spans="1:14" ht="30" customHeight="1" x14ac:dyDescent="0.3">
      <c r="A12" s="115"/>
      <c r="B12" s="116" t="str">
        <f>IF(ISNA(INDEX(OfficialTeamList[Team Name],MATCH(RobotDesignResults[[#This Row],[Team Number]], OfficialTeamList[Team Number],0))),"",INDEX(OfficialTeamList[Team Name],MATCH(RobotDesignResults[[#This Row],[Team Number]], OfficialTeamList[Team Number],0)))</f>
        <v/>
      </c>
      <c r="C12" s="115"/>
      <c r="D12" s="115"/>
      <c r="E12" s="115"/>
      <c r="F12" s="115"/>
      <c r="G12" s="115"/>
      <c r="H12" s="115"/>
      <c r="I12" s="115"/>
      <c r="J12" s="115"/>
      <c r="K12" s="115"/>
      <c r="L12" s="115"/>
      <c r="M12" s="61">
        <f>SUM(RobotDesignResults[[#This Row],[Identify - Strategy]:[Communicate - Fun (CV)]])</f>
        <v>0</v>
      </c>
      <c r="N12" s="56">
        <f>IF(RobotDesignResults[[#This Row],[Team Number]]&gt;0,MIN(_xlfn.RANK.EQ(RobotDesignResults[[#This Row],[Robot Design Score]],RobotDesignResults[Robot Design Score],0),NumberOfTeams),NumberOfTeams+1)</f>
        <v>1</v>
      </c>
    </row>
    <row r="13" spans="1:14" ht="30" customHeight="1" x14ac:dyDescent="0.3">
      <c r="A13" s="115"/>
      <c r="B13" s="116" t="str">
        <f>IF(ISNA(INDEX(OfficialTeamList[Team Name],MATCH(RobotDesignResults[[#This Row],[Team Number]], OfficialTeamList[Team Number],0))),"",INDEX(OfficialTeamList[Team Name],MATCH(RobotDesignResults[[#This Row],[Team Number]], OfficialTeamList[Team Number],0)))</f>
        <v/>
      </c>
      <c r="C13" s="115"/>
      <c r="D13" s="115"/>
      <c r="E13" s="115"/>
      <c r="F13" s="115"/>
      <c r="G13" s="115"/>
      <c r="H13" s="115"/>
      <c r="I13" s="115"/>
      <c r="J13" s="115"/>
      <c r="K13" s="115"/>
      <c r="L13" s="115"/>
      <c r="M13" s="61">
        <f>SUM(RobotDesignResults[[#This Row],[Identify - Strategy]:[Communicate - Fun (CV)]])</f>
        <v>0</v>
      </c>
      <c r="N13" s="56">
        <f>IF(RobotDesignResults[[#This Row],[Team Number]]&gt;0,MIN(_xlfn.RANK.EQ(RobotDesignResults[[#This Row],[Robot Design Score]],RobotDesignResults[Robot Design Score],0),NumberOfTeams),NumberOfTeams+1)</f>
        <v>1</v>
      </c>
    </row>
    <row r="14" spans="1:14" ht="30" customHeight="1" x14ac:dyDescent="0.3">
      <c r="A14" s="115"/>
      <c r="B14" s="116" t="str">
        <f>IF(ISNA(INDEX(OfficialTeamList[Team Name],MATCH(RobotDesignResults[[#This Row],[Team Number]], OfficialTeamList[Team Number],0))),"",INDEX(OfficialTeamList[Team Name],MATCH(RobotDesignResults[[#This Row],[Team Number]], OfficialTeamList[Team Number],0)))</f>
        <v/>
      </c>
      <c r="C14" s="115"/>
      <c r="D14" s="115"/>
      <c r="E14" s="115"/>
      <c r="F14" s="115"/>
      <c r="G14" s="115"/>
      <c r="H14" s="115"/>
      <c r="I14" s="115"/>
      <c r="J14" s="115"/>
      <c r="K14" s="115"/>
      <c r="L14" s="115"/>
      <c r="M14" s="61">
        <f>SUM(RobotDesignResults[[#This Row],[Identify - Strategy]:[Communicate - Fun (CV)]])</f>
        <v>0</v>
      </c>
      <c r="N14" s="56">
        <f>IF(RobotDesignResults[[#This Row],[Team Number]]&gt;0,MIN(_xlfn.RANK.EQ(RobotDesignResults[[#This Row],[Robot Design Score]],RobotDesignResults[Robot Design Score],0),NumberOfTeams),NumberOfTeams+1)</f>
        <v>1</v>
      </c>
    </row>
    <row r="15" spans="1:14" ht="30" customHeight="1" x14ac:dyDescent="0.3">
      <c r="A15" s="115"/>
      <c r="B15" s="116" t="str">
        <f>IF(ISNA(INDEX(OfficialTeamList[Team Name],MATCH(RobotDesignResults[[#This Row],[Team Number]], OfficialTeamList[Team Number],0))),"",INDEX(OfficialTeamList[Team Name],MATCH(RobotDesignResults[[#This Row],[Team Number]], OfficialTeamList[Team Number],0)))</f>
        <v/>
      </c>
      <c r="C15" s="115"/>
      <c r="D15" s="115"/>
      <c r="E15" s="115"/>
      <c r="F15" s="115"/>
      <c r="G15" s="115"/>
      <c r="H15" s="115"/>
      <c r="I15" s="115"/>
      <c r="J15" s="115"/>
      <c r="K15" s="115"/>
      <c r="L15" s="115"/>
      <c r="M15" s="61">
        <f>SUM(RobotDesignResults[[#This Row],[Identify - Strategy]:[Communicate - Fun (CV)]])</f>
        <v>0</v>
      </c>
      <c r="N15" s="56">
        <f>IF(RobotDesignResults[[#This Row],[Team Number]]&gt;0,MIN(_xlfn.RANK.EQ(RobotDesignResults[[#This Row],[Robot Design Score]],RobotDesignResults[Robot Design Score],0),NumberOfTeams),NumberOfTeams+1)</f>
        <v>1</v>
      </c>
    </row>
    <row r="16" spans="1:14" ht="30" customHeight="1" x14ac:dyDescent="0.3">
      <c r="A16" s="115"/>
      <c r="B16" s="116" t="str">
        <f>IF(ISNA(INDEX(OfficialTeamList[Team Name],MATCH(RobotDesignResults[[#This Row],[Team Number]], OfficialTeamList[Team Number],0))),"",INDEX(OfficialTeamList[Team Name],MATCH(RobotDesignResults[[#This Row],[Team Number]], OfficialTeamList[Team Number],0)))</f>
        <v/>
      </c>
      <c r="C16" s="115"/>
      <c r="D16" s="115"/>
      <c r="E16" s="115"/>
      <c r="F16" s="115"/>
      <c r="G16" s="115"/>
      <c r="H16" s="115"/>
      <c r="I16" s="115"/>
      <c r="J16" s="115"/>
      <c r="K16" s="115"/>
      <c r="L16" s="115"/>
      <c r="M16" s="61">
        <f>SUM(RobotDesignResults[[#This Row],[Identify - Strategy]:[Communicate - Fun (CV)]])</f>
        <v>0</v>
      </c>
      <c r="N16" s="56">
        <f>IF(RobotDesignResults[[#This Row],[Team Number]]&gt;0,MIN(_xlfn.RANK.EQ(RobotDesignResults[[#This Row],[Robot Design Score]],RobotDesignResults[Robot Design Score],0),NumberOfTeams),NumberOfTeams+1)</f>
        <v>1</v>
      </c>
    </row>
    <row r="17" spans="1:14" ht="30" customHeight="1" x14ac:dyDescent="0.3">
      <c r="A17" s="115"/>
      <c r="B17" s="116" t="str">
        <f>IF(ISNA(INDEX(OfficialTeamList[Team Name],MATCH(RobotDesignResults[[#This Row],[Team Number]], OfficialTeamList[Team Number],0))),"",INDEX(OfficialTeamList[Team Name],MATCH(RobotDesignResults[[#This Row],[Team Number]], OfficialTeamList[Team Number],0)))</f>
        <v/>
      </c>
      <c r="C17" s="115"/>
      <c r="D17" s="115"/>
      <c r="E17" s="115"/>
      <c r="F17" s="115"/>
      <c r="G17" s="115"/>
      <c r="H17" s="115"/>
      <c r="I17" s="115"/>
      <c r="J17" s="115"/>
      <c r="K17" s="115"/>
      <c r="L17" s="115"/>
      <c r="M17" s="61">
        <f>SUM(RobotDesignResults[[#This Row],[Identify - Strategy]:[Communicate - Fun (CV)]])</f>
        <v>0</v>
      </c>
      <c r="N17" s="56">
        <f>IF(RobotDesignResults[[#This Row],[Team Number]]&gt;0,MIN(_xlfn.RANK.EQ(RobotDesignResults[[#This Row],[Robot Design Score]],RobotDesignResults[Robot Design Score],0),NumberOfTeams),NumberOfTeams+1)</f>
        <v>1</v>
      </c>
    </row>
    <row r="18" spans="1:14" ht="30" customHeight="1" x14ac:dyDescent="0.3">
      <c r="A18" s="115"/>
      <c r="B18" s="116" t="str">
        <f>IF(ISNA(INDEX(OfficialTeamList[Team Name],MATCH(RobotDesignResults[[#This Row],[Team Number]], OfficialTeamList[Team Number],0))),"",INDEX(OfficialTeamList[Team Name],MATCH(RobotDesignResults[[#This Row],[Team Number]], OfficialTeamList[Team Number],0)))</f>
        <v/>
      </c>
      <c r="C18" s="115"/>
      <c r="D18" s="115"/>
      <c r="E18" s="115"/>
      <c r="F18" s="115"/>
      <c r="G18" s="115"/>
      <c r="H18" s="115"/>
      <c r="I18" s="115"/>
      <c r="J18" s="115"/>
      <c r="K18" s="115"/>
      <c r="L18" s="115"/>
      <c r="M18" s="61">
        <f>SUM(RobotDesignResults[[#This Row],[Identify - Strategy]:[Communicate - Fun (CV)]])</f>
        <v>0</v>
      </c>
      <c r="N18" s="56">
        <f>IF(RobotDesignResults[[#This Row],[Team Number]]&gt;0,MIN(_xlfn.RANK.EQ(RobotDesignResults[[#This Row],[Robot Design Score]],RobotDesignResults[Robot Design Score],0),NumberOfTeams),NumberOfTeams+1)</f>
        <v>1</v>
      </c>
    </row>
    <row r="19" spans="1:14" ht="30" customHeight="1" x14ac:dyDescent="0.3">
      <c r="A19" s="115"/>
      <c r="B19" s="116" t="str">
        <f>IF(ISNA(INDEX(OfficialTeamList[Team Name],MATCH(RobotDesignResults[[#This Row],[Team Number]], OfficialTeamList[Team Number],0))),"",INDEX(OfficialTeamList[Team Name],MATCH(RobotDesignResults[[#This Row],[Team Number]], OfficialTeamList[Team Number],0)))</f>
        <v/>
      </c>
      <c r="C19" s="115"/>
      <c r="D19" s="115"/>
      <c r="E19" s="115"/>
      <c r="F19" s="115"/>
      <c r="G19" s="115"/>
      <c r="H19" s="115"/>
      <c r="I19" s="115"/>
      <c r="J19" s="115"/>
      <c r="K19" s="115"/>
      <c r="L19" s="115"/>
      <c r="M19" s="61">
        <f>SUM(RobotDesignResults[[#This Row],[Identify - Strategy]:[Communicate - Fun (CV)]])</f>
        <v>0</v>
      </c>
      <c r="N19" s="56">
        <f>IF(RobotDesignResults[[#This Row],[Team Number]]&gt;0,MIN(_xlfn.RANK.EQ(RobotDesignResults[[#This Row],[Robot Design Score]],RobotDesignResults[Robot Design Score],0),NumberOfTeams),NumberOfTeams+1)</f>
        <v>1</v>
      </c>
    </row>
    <row r="20" spans="1:14" ht="30" customHeight="1" x14ac:dyDescent="0.3">
      <c r="A20" s="115"/>
      <c r="B20" s="116" t="str">
        <f>IF(ISNA(INDEX(OfficialTeamList[Team Name],MATCH(RobotDesignResults[[#This Row],[Team Number]], OfficialTeamList[Team Number],0))),"",INDEX(OfficialTeamList[Team Name],MATCH(RobotDesignResults[[#This Row],[Team Number]], OfficialTeamList[Team Number],0)))</f>
        <v/>
      </c>
      <c r="C20" s="115"/>
      <c r="D20" s="115"/>
      <c r="E20" s="115"/>
      <c r="F20" s="115"/>
      <c r="G20" s="115"/>
      <c r="H20" s="115"/>
      <c r="I20" s="115"/>
      <c r="J20" s="115"/>
      <c r="K20" s="115"/>
      <c r="L20" s="115"/>
      <c r="M20" s="61">
        <f>SUM(RobotDesignResults[[#This Row],[Identify - Strategy]:[Communicate - Fun (CV)]])</f>
        <v>0</v>
      </c>
      <c r="N20" s="56">
        <f>IF(RobotDesignResults[[#This Row],[Team Number]]&gt;0,MIN(_xlfn.RANK.EQ(RobotDesignResults[[#This Row],[Robot Design Score]],RobotDesignResults[Robot Design Score],0),NumberOfTeams),NumberOfTeams+1)</f>
        <v>1</v>
      </c>
    </row>
    <row r="21" spans="1:14" ht="30" customHeight="1" x14ac:dyDescent="0.3">
      <c r="A21" s="115"/>
      <c r="B21" s="116" t="str">
        <f>IF(ISNA(INDEX(OfficialTeamList[Team Name],MATCH(RobotDesignResults[[#This Row],[Team Number]], OfficialTeamList[Team Number],0))),"",INDEX(OfficialTeamList[Team Name],MATCH(RobotDesignResults[[#This Row],[Team Number]], OfficialTeamList[Team Number],0)))</f>
        <v/>
      </c>
      <c r="C21" s="115"/>
      <c r="D21" s="115"/>
      <c r="E21" s="115"/>
      <c r="F21" s="115"/>
      <c r="G21" s="115"/>
      <c r="H21" s="115"/>
      <c r="I21" s="115"/>
      <c r="J21" s="115"/>
      <c r="K21" s="115"/>
      <c r="L21" s="115"/>
      <c r="M21" s="61">
        <f>SUM(RobotDesignResults[[#This Row],[Identify - Strategy]:[Communicate - Fun (CV)]])</f>
        <v>0</v>
      </c>
      <c r="N21" s="56">
        <f>IF(RobotDesignResults[[#This Row],[Team Number]]&gt;0,MIN(_xlfn.RANK.EQ(RobotDesignResults[[#This Row],[Robot Design Score]],RobotDesignResults[Robot Design Score],0),NumberOfTeams),NumberOfTeams+1)</f>
        <v>1</v>
      </c>
    </row>
    <row r="22" spans="1:14" ht="30" customHeight="1" x14ac:dyDescent="0.3">
      <c r="A22" s="115"/>
      <c r="B22" s="116" t="str">
        <f>IF(ISNA(INDEX(OfficialTeamList[Team Name],MATCH(RobotDesignResults[[#This Row],[Team Number]], OfficialTeamList[Team Number],0))),"",INDEX(OfficialTeamList[Team Name],MATCH(RobotDesignResults[[#This Row],[Team Number]], OfficialTeamList[Team Number],0)))</f>
        <v/>
      </c>
      <c r="C22" s="115"/>
      <c r="D22" s="115"/>
      <c r="E22" s="115"/>
      <c r="F22" s="115"/>
      <c r="G22" s="115"/>
      <c r="H22" s="115"/>
      <c r="I22" s="115"/>
      <c r="J22" s="115"/>
      <c r="K22" s="115"/>
      <c r="L22" s="115"/>
      <c r="M22" s="61">
        <f>SUM(RobotDesignResults[[#This Row],[Identify - Strategy]:[Communicate - Fun (CV)]])</f>
        <v>0</v>
      </c>
      <c r="N22" s="56">
        <f>IF(RobotDesignResults[[#This Row],[Team Number]]&gt;0,MIN(_xlfn.RANK.EQ(RobotDesignResults[[#This Row],[Robot Design Score]],RobotDesignResults[Robot Design Score],0),NumberOfTeams),NumberOfTeams+1)</f>
        <v>1</v>
      </c>
    </row>
    <row r="23" spans="1:14" ht="30" customHeight="1" x14ac:dyDescent="0.3">
      <c r="A23" s="115"/>
      <c r="B23" s="116" t="str">
        <f>IF(ISNA(INDEX(OfficialTeamList[Team Name],MATCH(RobotDesignResults[[#This Row],[Team Number]], OfficialTeamList[Team Number],0))),"",INDEX(OfficialTeamList[Team Name],MATCH(RobotDesignResults[[#This Row],[Team Number]], OfficialTeamList[Team Number],0)))</f>
        <v/>
      </c>
      <c r="C23" s="115"/>
      <c r="D23" s="115"/>
      <c r="E23" s="115"/>
      <c r="F23" s="115"/>
      <c r="G23" s="115"/>
      <c r="H23" s="115"/>
      <c r="I23" s="115"/>
      <c r="J23" s="115"/>
      <c r="K23" s="115"/>
      <c r="L23" s="115"/>
      <c r="M23" s="61">
        <f>SUM(RobotDesignResults[[#This Row],[Identify - Strategy]:[Communicate - Fun (CV)]])</f>
        <v>0</v>
      </c>
      <c r="N23" s="56">
        <f>IF(RobotDesignResults[[#This Row],[Team Number]]&gt;0,MIN(_xlfn.RANK.EQ(RobotDesignResults[[#This Row],[Robot Design Score]],RobotDesignResults[Robot Design Score],0),NumberOfTeams),NumberOfTeams+1)</f>
        <v>1</v>
      </c>
    </row>
    <row r="24" spans="1:14" ht="30" customHeight="1" x14ac:dyDescent="0.3">
      <c r="A24" s="115"/>
      <c r="B24" s="116" t="str">
        <f>IF(ISNA(INDEX(OfficialTeamList[Team Name],MATCH(RobotDesignResults[[#This Row],[Team Number]], OfficialTeamList[Team Number],0))),"",INDEX(OfficialTeamList[Team Name],MATCH(RobotDesignResults[[#This Row],[Team Number]], OfficialTeamList[Team Number],0)))</f>
        <v/>
      </c>
      <c r="C24" s="115"/>
      <c r="D24" s="115"/>
      <c r="E24" s="115"/>
      <c r="F24" s="115"/>
      <c r="G24" s="115"/>
      <c r="H24" s="115"/>
      <c r="I24" s="115"/>
      <c r="J24" s="115"/>
      <c r="K24" s="115"/>
      <c r="L24" s="115"/>
      <c r="M24" s="61">
        <f>SUM(RobotDesignResults[[#This Row],[Identify - Strategy]:[Communicate - Fun (CV)]])</f>
        <v>0</v>
      </c>
      <c r="N24" s="56">
        <f>IF(RobotDesignResults[[#This Row],[Team Number]]&gt;0,MIN(_xlfn.RANK.EQ(RobotDesignResults[[#This Row],[Robot Design Score]],RobotDesignResults[Robot Design Score],0),NumberOfTeams),NumberOfTeams+1)</f>
        <v>1</v>
      </c>
    </row>
    <row r="25" spans="1:14" ht="30" customHeight="1" x14ac:dyDescent="0.3">
      <c r="A25" s="115"/>
      <c r="B25" s="116" t="str">
        <f>IF(ISNA(INDEX(OfficialTeamList[Team Name],MATCH(RobotDesignResults[[#This Row],[Team Number]], OfficialTeamList[Team Number],0))),"",INDEX(OfficialTeamList[Team Name],MATCH(RobotDesignResults[[#This Row],[Team Number]], OfficialTeamList[Team Number],0)))</f>
        <v/>
      </c>
      <c r="C25" s="115"/>
      <c r="D25" s="115"/>
      <c r="E25" s="115"/>
      <c r="F25" s="115"/>
      <c r="G25" s="115"/>
      <c r="H25" s="115"/>
      <c r="I25" s="115"/>
      <c r="J25" s="115"/>
      <c r="K25" s="115"/>
      <c r="L25" s="115"/>
      <c r="M25" s="61">
        <f>SUM(RobotDesignResults[[#This Row],[Identify - Strategy]:[Communicate - Fun (CV)]])</f>
        <v>0</v>
      </c>
      <c r="N25" s="56">
        <f>IF(RobotDesignResults[[#This Row],[Team Number]]&gt;0,MIN(_xlfn.RANK.EQ(RobotDesignResults[[#This Row],[Robot Design Score]],RobotDesignResults[Robot Design Score],0),NumberOfTeams),NumberOfTeams+1)</f>
        <v>1</v>
      </c>
    </row>
    <row r="26" spans="1:14" ht="30" customHeight="1" x14ac:dyDescent="0.3">
      <c r="A26" s="115"/>
      <c r="B26" s="116" t="str">
        <f>IF(ISNA(INDEX(OfficialTeamList[Team Name],MATCH(RobotDesignResults[[#This Row],[Team Number]], OfficialTeamList[Team Number],0))),"",INDEX(OfficialTeamList[Team Name],MATCH(RobotDesignResults[[#This Row],[Team Number]], OfficialTeamList[Team Number],0)))</f>
        <v/>
      </c>
      <c r="C26" s="115"/>
      <c r="D26" s="115"/>
      <c r="E26" s="115"/>
      <c r="F26" s="115"/>
      <c r="G26" s="115"/>
      <c r="H26" s="115"/>
      <c r="I26" s="115"/>
      <c r="J26" s="115"/>
      <c r="K26" s="115"/>
      <c r="L26" s="115"/>
      <c r="M26" s="61">
        <f>SUM(RobotDesignResults[[#This Row],[Identify - Strategy]:[Communicate - Fun (CV)]])</f>
        <v>0</v>
      </c>
      <c r="N26" s="56">
        <f>IF(RobotDesignResults[[#This Row],[Team Number]]&gt;0,MIN(_xlfn.RANK.EQ(RobotDesignResults[[#This Row],[Robot Design Score]],RobotDesignResults[Robot Design Score],0),NumberOfTeams),NumberOfTeams+1)</f>
        <v>1</v>
      </c>
    </row>
    <row r="27" spans="1:14" ht="30" customHeight="1" x14ac:dyDescent="0.3">
      <c r="A27" s="115"/>
      <c r="B27" s="116" t="str">
        <f>IF(ISNA(INDEX(OfficialTeamList[Team Name],MATCH(RobotDesignResults[[#This Row],[Team Number]], OfficialTeamList[Team Number],0))),"",INDEX(OfficialTeamList[Team Name],MATCH(RobotDesignResults[[#This Row],[Team Number]], OfficialTeamList[Team Number],0)))</f>
        <v/>
      </c>
      <c r="C27" s="115"/>
      <c r="D27" s="115"/>
      <c r="E27" s="115"/>
      <c r="F27" s="115"/>
      <c r="G27" s="115"/>
      <c r="H27" s="115"/>
      <c r="I27" s="115"/>
      <c r="J27" s="115"/>
      <c r="K27" s="115"/>
      <c r="L27" s="115"/>
      <c r="M27" s="61">
        <f>SUM(RobotDesignResults[[#This Row],[Identify - Strategy]:[Communicate - Fun (CV)]])</f>
        <v>0</v>
      </c>
      <c r="N27" s="56">
        <f>IF(RobotDesignResults[[#This Row],[Team Number]]&gt;0,MIN(_xlfn.RANK.EQ(RobotDesignResults[[#This Row],[Robot Design Score]],RobotDesignResults[Robot Design Score],0),NumberOfTeams),NumberOfTeams+1)</f>
        <v>1</v>
      </c>
    </row>
    <row r="28" spans="1:14" ht="30" customHeight="1" x14ac:dyDescent="0.3">
      <c r="A28" s="115"/>
      <c r="B28" s="116" t="str">
        <f>IF(ISNA(INDEX(OfficialTeamList[Team Name],MATCH(RobotDesignResults[[#This Row],[Team Number]], OfficialTeamList[Team Number],0))),"",INDEX(OfficialTeamList[Team Name],MATCH(RobotDesignResults[[#This Row],[Team Number]], OfficialTeamList[Team Number],0)))</f>
        <v/>
      </c>
      <c r="C28" s="115"/>
      <c r="D28" s="115"/>
      <c r="E28" s="115"/>
      <c r="F28" s="115"/>
      <c r="G28" s="115"/>
      <c r="H28" s="115"/>
      <c r="I28" s="115"/>
      <c r="J28" s="115"/>
      <c r="K28" s="115"/>
      <c r="L28" s="115"/>
      <c r="M28" s="61">
        <f>SUM(RobotDesignResults[[#This Row],[Identify - Strategy]:[Communicate - Fun (CV)]])</f>
        <v>0</v>
      </c>
      <c r="N28" s="56">
        <f>IF(RobotDesignResults[[#This Row],[Team Number]]&gt;0,MIN(_xlfn.RANK.EQ(RobotDesignResults[[#This Row],[Robot Design Score]],RobotDesignResults[Robot Design Score],0),NumberOfTeams),NumberOfTeams+1)</f>
        <v>1</v>
      </c>
    </row>
    <row r="29" spans="1:14" ht="30" customHeight="1" x14ac:dyDescent="0.3">
      <c r="A29" s="115"/>
      <c r="B29" s="116" t="str">
        <f>IF(ISNA(INDEX(OfficialTeamList[Team Name],MATCH(RobotDesignResults[[#This Row],[Team Number]], OfficialTeamList[Team Number],0))),"",INDEX(OfficialTeamList[Team Name],MATCH(RobotDesignResults[[#This Row],[Team Number]], OfficialTeamList[Team Number],0)))</f>
        <v/>
      </c>
      <c r="C29" s="115"/>
      <c r="D29" s="115"/>
      <c r="E29" s="115"/>
      <c r="F29" s="115"/>
      <c r="G29" s="115"/>
      <c r="H29" s="115"/>
      <c r="I29" s="115"/>
      <c r="J29" s="115"/>
      <c r="K29" s="115"/>
      <c r="L29" s="115"/>
      <c r="M29" s="61">
        <f>SUM(RobotDesignResults[[#This Row],[Identify - Strategy]:[Communicate - Fun (CV)]])</f>
        <v>0</v>
      </c>
      <c r="N29" s="56">
        <f>IF(RobotDesignResults[[#This Row],[Team Number]]&gt;0,MIN(_xlfn.RANK.EQ(RobotDesignResults[[#This Row],[Robot Design Score]],RobotDesignResults[Robot Design Score],0),NumberOfTeams),NumberOfTeams+1)</f>
        <v>1</v>
      </c>
    </row>
    <row r="30" spans="1:14" ht="30" customHeight="1" x14ac:dyDescent="0.3">
      <c r="A30" s="115"/>
      <c r="B30" s="116" t="str">
        <f>IF(ISNA(INDEX(OfficialTeamList[Team Name],MATCH(RobotDesignResults[[#This Row],[Team Number]], OfficialTeamList[Team Number],0))),"",INDEX(OfficialTeamList[Team Name],MATCH(RobotDesignResults[[#This Row],[Team Number]], OfficialTeamList[Team Number],0)))</f>
        <v/>
      </c>
      <c r="C30" s="115"/>
      <c r="D30" s="115"/>
      <c r="E30" s="115"/>
      <c r="F30" s="115"/>
      <c r="G30" s="115"/>
      <c r="H30" s="115"/>
      <c r="I30" s="115"/>
      <c r="J30" s="115"/>
      <c r="K30" s="115"/>
      <c r="L30" s="115"/>
      <c r="M30" s="61">
        <f>SUM(RobotDesignResults[[#This Row],[Identify - Strategy]:[Communicate - Fun (CV)]])</f>
        <v>0</v>
      </c>
      <c r="N30" s="56">
        <f>IF(RobotDesignResults[[#This Row],[Team Number]]&gt;0,MIN(_xlfn.RANK.EQ(RobotDesignResults[[#This Row],[Robot Design Score]],RobotDesignResults[Robot Design Score],0),NumberOfTeams),NumberOfTeams+1)</f>
        <v>1</v>
      </c>
    </row>
    <row r="31" spans="1:14" ht="30" customHeight="1" x14ac:dyDescent="0.3">
      <c r="A31" s="115"/>
      <c r="B31" s="116" t="str">
        <f>IF(ISNA(INDEX(OfficialTeamList[Team Name],MATCH(RobotDesignResults[[#This Row],[Team Number]], OfficialTeamList[Team Number],0))),"",INDEX(OfficialTeamList[Team Name],MATCH(RobotDesignResults[[#This Row],[Team Number]], OfficialTeamList[Team Number],0)))</f>
        <v/>
      </c>
      <c r="C31" s="115"/>
      <c r="D31" s="115"/>
      <c r="E31" s="115"/>
      <c r="F31" s="115"/>
      <c r="G31" s="115"/>
      <c r="H31" s="115"/>
      <c r="I31" s="115"/>
      <c r="J31" s="115"/>
      <c r="K31" s="115"/>
      <c r="L31" s="115"/>
      <c r="M31" s="61">
        <f>SUM(RobotDesignResults[[#This Row],[Identify - Strategy]:[Communicate - Fun (CV)]])</f>
        <v>0</v>
      </c>
      <c r="N31" s="56">
        <f>IF(RobotDesignResults[[#This Row],[Team Number]]&gt;0,MIN(_xlfn.RANK.EQ(RobotDesignResults[[#This Row],[Robot Design Score]],RobotDesignResults[Robot Design Score],0),NumberOfTeams),NumberOfTeams+1)</f>
        <v>1</v>
      </c>
    </row>
    <row r="32" spans="1:14" ht="30" customHeight="1" x14ac:dyDescent="0.3">
      <c r="A32" s="115"/>
      <c r="B32" s="116" t="str">
        <f>IF(ISNA(INDEX(OfficialTeamList[Team Name],MATCH(RobotDesignResults[[#This Row],[Team Number]], OfficialTeamList[Team Number],0))),"",INDEX(OfficialTeamList[Team Name],MATCH(RobotDesignResults[[#This Row],[Team Number]], OfficialTeamList[Team Number],0)))</f>
        <v/>
      </c>
      <c r="C32" s="115"/>
      <c r="D32" s="115"/>
      <c r="E32" s="115"/>
      <c r="F32" s="115"/>
      <c r="G32" s="115"/>
      <c r="H32" s="115"/>
      <c r="I32" s="115"/>
      <c r="J32" s="115"/>
      <c r="K32" s="115"/>
      <c r="L32" s="115"/>
      <c r="M32" s="61">
        <f>SUM(RobotDesignResults[[#This Row],[Identify - Strategy]:[Communicate - Fun (CV)]])</f>
        <v>0</v>
      </c>
      <c r="N32" s="56">
        <f>IF(RobotDesignResults[[#This Row],[Team Number]]&gt;0,MIN(_xlfn.RANK.EQ(RobotDesignResults[[#This Row],[Robot Design Score]],RobotDesignResults[Robot Design Score],0),NumberOfTeams),NumberOfTeams+1)</f>
        <v>1</v>
      </c>
    </row>
    <row r="33" spans="1:14" ht="30" customHeight="1" x14ac:dyDescent="0.3">
      <c r="A33" s="115"/>
      <c r="B33" s="116" t="str">
        <f>IF(ISNA(INDEX(OfficialTeamList[Team Name],MATCH(RobotDesignResults[[#This Row],[Team Number]], OfficialTeamList[Team Number],0))),"",INDEX(OfficialTeamList[Team Name],MATCH(RobotDesignResults[[#This Row],[Team Number]], OfficialTeamList[Team Number],0)))</f>
        <v/>
      </c>
      <c r="C33" s="115"/>
      <c r="D33" s="115"/>
      <c r="E33" s="115"/>
      <c r="F33" s="115"/>
      <c r="G33" s="115"/>
      <c r="H33" s="115"/>
      <c r="I33" s="115"/>
      <c r="J33" s="115"/>
      <c r="K33" s="115"/>
      <c r="L33" s="115"/>
      <c r="M33" s="61">
        <f>SUM(RobotDesignResults[[#This Row],[Identify - Strategy]:[Communicate - Fun (CV)]])</f>
        <v>0</v>
      </c>
      <c r="N33" s="56">
        <f>IF(RobotDesignResults[[#This Row],[Team Number]]&gt;0,MIN(_xlfn.RANK.EQ(RobotDesignResults[[#This Row],[Robot Design Score]],RobotDesignResults[Robot Design Score],0),NumberOfTeams),NumberOfTeams+1)</f>
        <v>1</v>
      </c>
    </row>
    <row r="34" spans="1:14" ht="30" customHeight="1" x14ac:dyDescent="0.3">
      <c r="A34" s="115"/>
      <c r="B34" s="116" t="str">
        <f>IF(ISNA(INDEX(OfficialTeamList[Team Name],MATCH(RobotDesignResults[[#This Row],[Team Number]], OfficialTeamList[Team Number],0))),"",INDEX(OfficialTeamList[Team Name],MATCH(RobotDesignResults[[#This Row],[Team Number]], OfficialTeamList[Team Number],0)))</f>
        <v/>
      </c>
      <c r="C34" s="115"/>
      <c r="D34" s="115"/>
      <c r="E34" s="115"/>
      <c r="F34" s="115"/>
      <c r="G34" s="115"/>
      <c r="H34" s="115"/>
      <c r="I34" s="115"/>
      <c r="J34" s="115"/>
      <c r="K34" s="115"/>
      <c r="L34" s="115"/>
      <c r="M34" s="61">
        <f>SUM(RobotDesignResults[[#This Row],[Identify - Strategy]:[Communicate - Fun (CV)]])</f>
        <v>0</v>
      </c>
      <c r="N34" s="56">
        <f>IF(RobotDesignResults[[#This Row],[Team Number]]&gt;0,MIN(_xlfn.RANK.EQ(RobotDesignResults[[#This Row],[Robot Design Score]],RobotDesignResults[Robot Design Score],0),NumberOfTeams),NumberOfTeams+1)</f>
        <v>1</v>
      </c>
    </row>
    <row r="35" spans="1:14" ht="30" customHeight="1" x14ac:dyDescent="0.3">
      <c r="A35" s="115"/>
      <c r="B35" s="116" t="str">
        <f>IF(ISNA(INDEX(OfficialTeamList[Team Name],MATCH(RobotDesignResults[[#This Row],[Team Number]], OfficialTeamList[Team Number],0))),"",INDEX(OfficialTeamList[Team Name],MATCH(RobotDesignResults[[#This Row],[Team Number]], OfficialTeamList[Team Number],0)))</f>
        <v/>
      </c>
      <c r="C35" s="115"/>
      <c r="D35" s="115"/>
      <c r="E35" s="115"/>
      <c r="F35" s="115"/>
      <c r="G35" s="115"/>
      <c r="H35" s="115"/>
      <c r="I35" s="115"/>
      <c r="J35" s="115"/>
      <c r="K35" s="115"/>
      <c r="L35" s="115"/>
      <c r="M35" s="61">
        <f>SUM(RobotDesignResults[[#This Row],[Identify - Strategy]:[Communicate - Fun (CV)]])</f>
        <v>0</v>
      </c>
      <c r="N35" s="56">
        <f>IF(RobotDesignResults[[#This Row],[Team Number]]&gt;0,MIN(_xlfn.RANK.EQ(RobotDesignResults[[#This Row],[Robot Design Score]],RobotDesignResults[Robot Design Score],0),NumberOfTeams),NumberOfTeams+1)</f>
        <v>1</v>
      </c>
    </row>
    <row r="36" spans="1:14" ht="30" customHeight="1" x14ac:dyDescent="0.3">
      <c r="A36" s="115"/>
      <c r="B36" s="116" t="str">
        <f>IF(ISNA(INDEX(OfficialTeamList[Team Name],MATCH(RobotDesignResults[[#This Row],[Team Number]], OfficialTeamList[Team Number],0))),"",INDEX(OfficialTeamList[Team Name],MATCH(RobotDesignResults[[#This Row],[Team Number]], OfficialTeamList[Team Number],0)))</f>
        <v/>
      </c>
      <c r="C36" s="115"/>
      <c r="D36" s="115"/>
      <c r="E36" s="115"/>
      <c r="F36" s="115"/>
      <c r="G36" s="115"/>
      <c r="H36" s="115"/>
      <c r="I36" s="115"/>
      <c r="J36" s="115"/>
      <c r="K36" s="115"/>
      <c r="L36" s="115"/>
      <c r="M36" s="61">
        <f>SUM(RobotDesignResults[[#This Row],[Identify - Strategy]:[Communicate - Fun (CV)]])</f>
        <v>0</v>
      </c>
      <c r="N36" s="56">
        <f>IF(RobotDesignResults[[#This Row],[Team Number]]&gt;0,MIN(_xlfn.RANK.EQ(RobotDesignResults[[#This Row],[Robot Design Score]],RobotDesignResults[Robot Design Score],0),NumberOfTeams),NumberOfTeams+1)</f>
        <v>1</v>
      </c>
    </row>
    <row r="37" spans="1:14" ht="30" customHeight="1" x14ac:dyDescent="0.3">
      <c r="A37" s="115"/>
      <c r="B37" s="116" t="str">
        <f>IF(ISNA(INDEX(OfficialTeamList[Team Name],MATCH(RobotDesignResults[[#This Row],[Team Number]], OfficialTeamList[Team Number],0))),"",INDEX(OfficialTeamList[Team Name],MATCH(RobotDesignResults[[#This Row],[Team Number]], OfficialTeamList[Team Number],0)))</f>
        <v/>
      </c>
      <c r="C37" s="115"/>
      <c r="D37" s="115"/>
      <c r="E37" s="115"/>
      <c r="F37" s="115"/>
      <c r="G37" s="115"/>
      <c r="H37" s="115"/>
      <c r="I37" s="115"/>
      <c r="J37" s="115"/>
      <c r="K37" s="115"/>
      <c r="L37" s="115"/>
      <c r="M37" s="61">
        <f>SUM(RobotDesignResults[[#This Row],[Identify - Strategy]:[Communicate - Fun (CV)]])</f>
        <v>0</v>
      </c>
      <c r="N37" s="56">
        <f>IF(RobotDesignResults[[#This Row],[Team Number]]&gt;0,MIN(_xlfn.RANK.EQ(RobotDesignResults[[#This Row],[Robot Design Score]],RobotDesignResults[Robot Design Score],0),NumberOfTeams),NumberOfTeams+1)</f>
        <v>1</v>
      </c>
    </row>
    <row r="38" spans="1:14" ht="30" customHeight="1" x14ac:dyDescent="0.3">
      <c r="A38" s="115"/>
      <c r="B38" s="116" t="str">
        <f>IF(ISNA(INDEX(OfficialTeamList[Team Name],MATCH(RobotDesignResults[[#This Row],[Team Number]], OfficialTeamList[Team Number],0))),"",INDEX(OfficialTeamList[Team Name],MATCH(RobotDesignResults[[#This Row],[Team Number]], OfficialTeamList[Team Number],0)))</f>
        <v/>
      </c>
      <c r="C38" s="115"/>
      <c r="D38" s="115"/>
      <c r="E38" s="115"/>
      <c r="F38" s="115"/>
      <c r="G38" s="115"/>
      <c r="H38" s="115"/>
      <c r="I38" s="115"/>
      <c r="J38" s="115"/>
      <c r="K38" s="115"/>
      <c r="L38" s="115"/>
      <c r="M38" s="61">
        <f>SUM(RobotDesignResults[[#This Row],[Identify - Strategy]:[Communicate - Fun (CV)]])</f>
        <v>0</v>
      </c>
      <c r="N38" s="56">
        <f>IF(RobotDesignResults[[#This Row],[Team Number]]&gt;0,MIN(_xlfn.RANK.EQ(RobotDesignResults[[#This Row],[Robot Design Score]],RobotDesignResults[Robot Design Score],0),NumberOfTeams),NumberOfTeams+1)</f>
        <v>1</v>
      </c>
    </row>
    <row r="39" spans="1:14" ht="30" customHeight="1" x14ac:dyDescent="0.3">
      <c r="A39" s="115"/>
      <c r="B39" s="116" t="str">
        <f>IF(ISNA(INDEX(OfficialTeamList[Team Name],MATCH(RobotDesignResults[[#This Row],[Team Number]], OfficialTeamList[Team Number],0))),"",INDEX(OfficialTeamList[Team Name],MATCH(RobotDesignResults[[#This Row],[Team Number]], OfficialTeamList[Team Number],0)))</f>
        <v/>
      </c>
      <c r="C39" s="115"/>
      <c r="D39" s="115"/>
      <c r="E39" s="115"/>
      <c r="F39" s="115"/>
      <c r="G39" s="115"/>
      <c r="H39" s="115"/>
      <c r="I39" s="115"/>
      <c r="J39" s="115"/>
      <c r="K39" s="115"/>
      <c r="L39" s="115"/>
      <c r="M39" s="61">
        <f>SUM(RobotDesignResults[[#This Row],[Identify - Strategy]:[Communicate - Fun (CV)]])</f>
        <v>0</v>
      </c>
      <c r="N39" s="56">
        <f>IF(RobotDesignResults[[#This Row],[Team Number]]&gt;0,MIN(_xlfn.RANK.EQ(RobotDesignResults[[#This Row],[Robot Design Score]],RobotDesignResults[Robot Design Score],0),NumberOfTeams),NumberOfTeams+1)</f>
        <v>1</v>
      </c>
    </row>
    <row r="40" spans="1:14" ht="30" customHeight="1" x14ac:dyDescent="0.3">
      <c r="A40" s="115"/>
      <c r="B40" s="116" t="str">
        <f>IF(ISNA(INDEX(OfficialTeamList[Team Name],MATCH(RobotDesignResults[[#This Row],[Team Number]], OfficialTeamList[Team Number],0))),"",INDEX(OfficialTeamList[Team Name],MATCH(RobotDesignResults[[#This Row],[Team Number]], OfficialTeamList[Team Number],0)))</f>
        <v/>
      </c>
      <c r="C40" s="115"/>
      <c r="D40" s="115"/>
      <c r="E40" s="115"/>
      <c r="F40" s="115"/>
      <c r="G40" s="115"/>
      <c r="H40" s="115"/>
      <c r="I40" s="115"/>
      <c r="J40" s="115"/>
      <c r="K40" s="115"/>
      <c r="L40" s="115"/>
      <c r="M40" s="61">
        <f>SUM(RobotDesignResults[[#This Row],[Identify - Strategy]:[Communicate - Fun (CV)]])</f>
        <v>0</v>
      </c>
      <c r="N40" s="56">
        <f>IF(RobotDesignResults[[#This Row],[Team Number]]&gt;0,MIN(_xlfn.RANK.EQ(RobotDesignResults[[#This Row],[Robot Design Score]],RobotDesignResults[Robot Design Score],0),NumberOfTeams),NumberOfTeams+1)</f>
        <v>1</v>
      </c>
    </row>
    <row r="41" spans="1:14" ht="30" customHeight="1" x14ac:dyDescent="0.3">
      <c r="A41" s="115"/>
      <c r="B41" s="116" t="str">
        <f>IF(ISNA(INDEX(OfficialTeamList[Team Name],MATCH(RobotDesignResults[[#This Row],[Team Number]], OfficialTeamList[Team Number],0))),"",INDEX(OfficialTeamList[Team Name],MATCH(RobotDesignResults[[#This Row],[Team Number]], OfficialTeamList[Team Number],0)))</f>
        <v/>
      </c>
      <c r="C41" s="115"/>
      <c r="D41" s="115"/>
      <c r="E41" s="115"/>
      <c r="F41" s="115"/>
      <c r="G41" s="115"/>
      <c r="H41" s="115"/>
      <c r="I41" s="115"/>
      <c r="J41" s="115"/>
      <c r="K41" s="115"/>
      <c r="L41" s="115"/>
      <c r="M41" s="61">
        <f>SUM(RobotDesignResults[[#This Row],[Identify - Strategy]:[Communicate - Fun (CV)]])</f>
        <v>0</v>
      </c>
      <c r="N41" s="56">
        <f>IF(RobotDesignResults[[#This Row],[Team Number]]&gt;0,MIN(_xlfn.RANK.EQ(RobotDesignResults[[#This Row],[Robot Design Score]],RobotDesignResults[Robot Design Score],0),NumberOfTeams),NumberOfTeams+1)</f>
        <v>1</v>
      </c>
    </row>
    <row r="42" spans="1:14" ht="30" customHeight="1" x14ac:dyDescent="0.3">
      <c r="A42" s="115"/>
      <c r="B42" s="116" t="str">
        <f>IF(ISNA(INDEX(OfficialTeamList[Team Name],MATCH(RobotDesignResults[[#This Row],[Team Number]], OfficialTeamList[Team Number],0))),"",INDEX(OfficialTeamList[Team Name],MATCH(RobotDesignResults[[#This Row],[Team Number]], OfficialTeamList[Team Number],0)))</f>
        <v/>
      </c>
      <c r="C42" s="115"/>
      <c r="D42" s="115"/>
      <c r="E42" s="115"/>
      <c r="F42" s="115"/>
      <c r="G42" s="115"/>
      <c r="H42" s="115"/>
      <c r="I42" s="115"/>
      <c r="J42" s="115"/>
      <c r="K42" s="115"/>
      <c r="L42" s="115"/>
      <c r="M42" s="61">
        <f>SUM(RobotDesignResults[[#This Row],[Identify - Strategy]:[Communicate - Fun (CV)]])</f>
        <v>0</v>
      </c>
      <c r="N42" s="56">
        <f>IF(RobotDesignResults[[#This Row],[Team Number]]&gt;0,MIN(_xlfn.RANK.EQ(RobotDesignResults[[#This Row],[Robot Design Score]],RobotDesignResults[Robot Design Score],0),NumberOfTeams),NumberOfTeams+1)</f>
        <v>1</v>
      </c>
    </row>
    <row r="43" spans="1:14" ht="30" customHeight="1" x14ac:dyDescent="0.3">
      <c r="A43" s="115"/>
      <c r="B43" s="116" t="str">
        <f>IF(ISNA(INDEX(OfficialTeamList[Team Name],MATCH(RobotDesignResults[[#This Row],[Team Number]], OfficialTeamList[Team Number],0))),"",INDEX(OfficialTeamList[Team Name],MATCH(RobotDesignResults[[#This Row],[Team Number]], OfficialTeamList[Team Number],0)))</f>
        <v/>
      </c>
      <c r="C43" s="115"/>
      <c r="D43" s="115"/>
      <c r="E43" s="115"/>
      <c r="F43" s="115"/>
      <c r="G43" s="115"/>
      <c r="H43" s="115"/>
      <c r="I43" s="115"/>
      <c r="J43" s="115"/>
      <c r="K43" s="115"/>
      <c r="L43" s="115"/>
      <c r="M43" s="61">
        <f>SUM(RobotDesignResults[[#This Row],[Identify - Strategy]:[Communicate - Fun (CV)]])</f>
        <v>0</v>
      </c>
      <c r="N43" s="56">
        <f>IF(RobotDesignResults[[#This Row],[Team Number]]&gt;0,MIN(_xlfn.RANK.EQ(RobotDesignResults[[#This Row],[Robot Design Score]],RobotDesignResults[Robot Design Score],0),NumberOfTeams),NumberOfTeams+1)</f>
        <v>1</v>
      </c>
    </row>
    <row r="44" spans="1:14" ht="30" customHeight="1" x14ac:dyDescent="0.3">
      <c r="A44" s="115"/>
      <c r="B44" s="116" t="str">
        <f>IF(ISNA(INDEX(OfficialTeamList[Team Name],MATCH(RobotDesignResults[[#This Row],[Team Number]], OfficialTeamList[Team Number],0))),"",INDEX(OfficialTeamList[Team Name],MATCH(RobotDesignResults[[#This Row],[Team Number]], OfficialTeamList[Team Number],0)))</f>
        <v/>
      </c>
      <c r="C44" s="115"/>
      <c r="D44" s="115"/>
      <c r="E44" s="115"/>
      <c r="F44" s="115"/>
      <c r="G44" s="115"/>
      <c r="H44" s="115"/>
      <c r="I44" s="115"/>
      <c r="J44" s="115"/>
      <c r="K44" s="115"/>
      <c r="L44" s="115"/>
      <c r="M44" s="61">
        <f>SUM(RobotDesignResults[[#This Row],[Identify - Strategy]:[Communicate - Fun (CV)]])</f>
        <v>0</v>
      </c>
      <c r="N44" s="56">
        <f>IF(RobotDesignResults[[#This Row],[Team Number]]&gt;0,MIN(_xlfn.RANK.EQ(RobotDesignResults[[#This Row],[Robot Design Score]],RobotDesignResults[Robot Design Score],0),NumberOfTeams),NumberOfTeams+1)</f>
        <v>1</v>
      </c>
    </row>
    <row r="45" spans="1:14" ht="30" customHeight="1" x14ac:dyDescent="0.3">
      <c r="A45" s="115"/>
      <c r="B45" s="116" t="str">
        <f>IF(ISNA(INDEX(OfficialTeamList[Team Name],MATCH(RobotDesignResults[[#This Row],[Team Number]], OfficialTeamList[Team Number],0))),"",INDEX(OfficialTeamList[Team Name],MATCH(RobotDesignResults[[#This Row],[Team Number]], OfficialTeamList[Team Number],0)))</f>
        <v/>
      </c>
      <c r="C45" s="115"/>
      <c r="D45" s="115"/>
      <c r="E45" s="115"/>
      <c r="F45" s="115"/>
      <c r="G45" s="115"/>
      <c r="H45" s="115"/>
      <c r="I45" s="115"/>
      <c r="J45" s="115"/>
      <c r="K45" s="115"/>
      <c r="L45" s="115"/>
      <c r="M45" s="61">
        <f>SUM(RobotDesignResults[[#This Row],[Identify - Strategy]:[Communicate - Fun (CV)]])</f>
        <v>0</v>
      </c>
      <c r="N45" s="56">
        <f>IF(RobotDesignResults[[#This Row],[Team Number]]&gt;0,MIN(_xlfn.RANK.EQ(RobotDesignResults[[#This Row],[Robot Design Score]],RobotDesignResults[Robot Design Score],0),NumberOfTeams),NumberOfTeams+1)</f>
        <v>1</v>
      </c>
    </row>
    <row r="46" spans="1:14" ht="30" customHeight="1" x14ac:dyDescent="0.3">
      <c r="A46" s="115"/>
      <c r="B46" s="116" t="str">
        <f>IF(ISNA(INDEX(OfficialTeamList[Team Name],MATCH(RobotDesignResults[[#This Row],[Team Number]], OfficialTeamList[Team Number],0))),"",INDEX(OfficialTeamList[Team Name],MATCH(RobotDesignResults[[#This Row],[Team Number]], OfficialTeamList[Team Number],0)))</f>
        <v/>
      </c>
      <c r="C46" s="115"/>
      <c r="D46" s="115"/>
      <c r="E46" s="115"/>
      <c r="F46" s="115"/>
      <c r="G46" s="115"/>
      <c r="H46" s="115"/>
      <c r="I46" s="115"/>
      <c r="J46" s="115"/>
      <c r="K46" s="115"/>
      <c r="L46" s="115"/>
      <c r="M46" s="61">
        <f>SUM(RobotDesignResults[[#This Row],[Identify - Strategy]:[Communicate - Fun (CV)]])</f>
        <v>0</v>
      </c>
      <c r="N46" s="56">
        <f>IF(RobotDesignResults[[#This Row],[Team Number]]&gt;0,MIN(_xlfn.RANK.EQ(RobotDesignResults[[#This Row],[Robot Design Score]],RobotDesignResults[Robot Design Score],0),NumberOfTeams),NumberOfTeams+1)</f>
        <v>1</v>
      </c>
    </row>
    <row r="47" spans="1:14" ht="30" customHeight="1" x14ac:dyDescent="0.3">
      <c r="A47" s="115"/>
      <c r="B47" s="116" t="str">
        <f>IF(ISNA(INDEX(OfficialTeamList[Team Name],MATCH(RobotDesignResults[[#This Row],[Team Number]], OfficialTeamList[Team Number],0))),"",INDEX(OfficialTeamList[Team Name],MATCH(RobotDesignResults[[#This Row],[Team Number]], OfficialTeamList[Team Number],0)))</f>
        <v/>
      </c>
      <c r="C47" s="115"/>
      <c r="D47" s="115"/>
      <c r="E47" s="115"/>
      <c r="F47" s="115"/>
      <c r="G47" s="115"/>
      <c r="H47" s="115"/>
      <c r="I47" s="115"/>
      <c r="J47" s="115"/>
      <c r="K47" s="115"/>
      <c r="L47" s="115"/>
      <c r="M47" s="61">
        <f>SUM(RobotDesignResults[[#This Row],[Identify - Strategy]:[Communicate - Fun (CV)]])</f>
        <v>0</v>
      </c>
      <c r="N47" s="56">
        <f>IF(RobotDesignResults[[#This Row],[Team Number]]&gt;0,MIN(_xlfn.RANK.EQ(RobotDesignResults[[#This Row],[Robot Design Score]],RobotDesignResults[Robot Design Score],0),NumberOfTeams),NumberOfTeams+1)</f>
        <v>1</v>
      </c>
    </row>
    <row r="48" spans="1:14" ht="30" customHeight="1" x14ac:dyDescent="0.3">
      <c r="A48" s="115"/>
      <c r="B48" s="116" t="str">
        <f>IF(ISNA(INDEX(OfficialTeamList[Team Name],MATCH(RobotDesignResults[[#This Row],[Team Number]], OfficialTeamList[Team Number],0))),"",INDEX(OfficialTeamList[Team Name],MATCH(RobotDesignResults[[#This Row],[Team Number]], OfficialTeamList[Team Number],0)))</f>
        <v/>
      </c>
      <c r="C48" s="115"/>
      <c r="D48" s="115"/>
      <c r="E48" s="115"/>
      <c r="F48" s="115"/>
      <c r="G48" s="115"/>
      <c r="H48" s="115"/>
      <c r="I48" s="115"/>
      <c r="J48" s="115"/>
      <c r="K48" s="115"/>
      <c r="L48" s="115"/>
      <c r="M48" s="61">
        <f>SUM(RobotDesignResults[[#This Row],[Identify - Strategy]:[Communicate - Fun (CV)]])</f>
        <v>0</v>
      </c>
      <c r="N48" s="56">
        <f>IF(RobotDesignResults[[#This Row],[Team Number]]&gt;0,MIN(_xlfn.RANK.EQ(RobotDesignResults[[#This Row],[Robot Design Score]],RobotDesignResults[Robot Design Score],0),NumberOfTeams),NumberOfTeams+1)</f>
        <v>1</v>
      </c>
    </row>
    <row r="49" spans="1:14" ht="30" customHeight="1" x14ac:dyDescent="0.3">
      <c r="A49" s="115"/>
      <c r="B49" s="116" t="str">
        <f>IF(ISNA(INDEX(OfficialTeamList[Team Name],MATCH(RobotDesignResults[[#This Row],[Team Number]], OfficialTeamList[Team Number],0))),"",INDEX(OfficialTeamList[Team Name],MATCH(RobotDesignResults[[#This Row],[Team Number]], OfficialTeamList[Team Number],0)))</f>
        <v/>
      </c>
      <c r="C49" s="115"/>
      <c r="D49" s="115"/>
      <c r="E49" s="115"/>
      <c r="F49" s="115"/>
      <c r="G49" s="115"/>
      <c r="H49" s="115"/>
      <c r="I49" s="115"/>
      <c r="J49" s="115"/>
      <c r="K49" s="115"/>
      <c r="L49" s="115"/>
      <c r="M49" s="61">
        <f>SUM(RobotDesignResults[[#This Row],[Identify - Strategy]:[Communicate - Fun (CV)]])</f>
        <v>0</v>
      </c>
      <c r="N49" s="56">
        <f>IF(RobotDesignResults[[#This Row],[Team Number]]&gt;0,MIN(_xlfn.RANK.EQ(RobotDesignResults[[#This Row],[Robot Design Score]],RobotDesignResults[Robot Design Score],0),NumberOfTeams),NumberOfTeams+1)</f>
        <v>1</v>
      </c>
    </row>
    <row r="50" spans="1:14" ht="30" customHeight="1" x14ac:dyDescent="0.3">
      <c r="A50" s="115"/>
      <c r="B50" s="116" t="str">
        <f>IF(ISNA(INDEX(OfficialTeamList[Team Name],MATCH(RobotDesignResults[[#This Row],[Team Number]], OfficialTeamList[Team Number],0))),"",INDEX(OfficialTeamList[Team Name],MATCH(RobotDesignResults[[#This Row],[Team Number]], OfficialTeamList[Team Number],0)))</f>
        <v/>
      </c>
      <c r="C50" s="115"/>
      <c r="D50" s="115"/>
      <c r="E50" s="115"/>
      <c r="F50" s="115"/>
      <c r="G50" s="115"/>
      <c r="H50" s="115"/>
      <c r="I50" s="115"/>
      <c r="J50" s="115"/>
      <c r="K50" s="115"/>
      <c r="L50" s="115"/>
      <c r="M50" s="61">
        <f>SUM(RobotDesignResults[[#This Row],[Identify - Strategy]:[Communicate - Fun (CV)]])</f>
        <v>0</v>
      </c>
      <c r="N50" s="56">
        <f>IF(RobotDesignResults[[#This Row],[Team Number]]&gt;0,MIN(_xlfn.RANK.EQ(RobotDesignResults[[#This Row],[Robot Design Score]],RobotDesignResults[Robot Design Score],0),NumberOfTeams),NumberOfTeams+1)</f>
        <v>1</v>
      </c>
    </row>
    <row r="51" spans="1:14" ht="30" customHeight="1" x14ac:dyDescent="0.3">
      <c r="A51" s="115"/>
      <c r="B51" s="116" t="str">
        <f>IF(ISNA(INDEX(OfficialTeamList[Team Name],MATCH(RobotDesignResults[[#This Row],[Team Number]], OfficialTeamList[Team Number],0))),"",INDEX(OfficialTeamList[Team Name],MATCH(RobotDesignResults[[#This Row],[Team Number]], OfficialTeamList[Team Number],0)))</f>
        <v/>
      </c>
      <c r="C51" s="115"/>
      <c r="D51" s="115"/>
      <c r="E51" s="115"/>
      <c r="F51" s="115"/>
      <c r="G51" s="115"/>
      <c r="H51" s="115"/>
      <c r="I51" s="115"/>
      <c r="J51" s="115"/>
      <c r="K51" s="115"/>
      <c r="L51" s="115"/>
      <c r="M51" s="61">
        <f>SUM(RobotDesignResults[[#This Row],[Identify - Strategy]:[Communicate - Fun (CV)]])</f>
        <v>0</v>
      </c>
      <c r="N51" s="56">
        <f>IF(RobotDesignResults[[#This Row],[Team Number]]&gt;0,MIN(_xlfn.RANK.EQ(RobotDesignResults[[#This Row],[Robot Design Score]],RobotDesignResults[Robot Design Score],0),NumberOfTeams),NumberOfTeams+1)</f>
        <v>1</v>
      </c>
    </row>
    <row r="52" spans="1:14" ht="30" customHeight="1" x14ac:dyDescent="0.3">
      <c r="A52" s="115"/>
      <c r="B52" s="116" t="str">
        <f>IF(ISNA(INDEX(OfficialTeamList[Team Name],MATCH(RobotDesignResults[[#This Row],[Team Number]], OfficialTeamList[Team Number],0))),"",INDEX(OfficialTeamList[Team Name],MATCH(RobotDesignResults[[#This Row],[Team Number]], OfficialTeamList[Team Number],0)))</f>
        <v/>
      </c>
      <c r="C52" s="115"/>
      <c r="D52" s="115"/>
      <c r="E52" s="115"/>
      <c r="F52" s="115"/>
      <c r="G52" s="115"/>
      <c r="H52" s="115"/>
      <c r="I52" s="115"/>
      <c r="J52" s="115"/>
      <c r="K52" s="115"/>
      <c r="L52" s="115"/>
      <c r="M52" s="61">
        <f>SUM(RobotDesignResults[[#This Row],[Identify - Strategy]:[Communicate - Fun (CV)]])</f>
        <v>0</v>
      </c>
      <c r="N52" s="56">
        <f>IF(RobotDesignResults[[#This Row],[Team Number]]&gt;0,MIN(_xlfn.RANK.EQ(RobotDesignResults[[#This Row],[Robot Design Score]],RobotDesignResults[Robot Design Score],0),NumberOfTeams),NumberOfTeams+1)</f>
        <v>1</v>
      </c>
    </row>
    <row r="53" spans="1:14" ht="30" customHeight="1" x14ac:dyDescent="0.3">
      <c r="A53" s="115"/>
      <c r="B53" s="116" t="str">
        <f>IF(ISNA(INDEX(OfficialTeamList[Team Name],MATCH(RobotDesignResults[[#This Row],[Team Number]], OfficialTeamList[Team Number],0))),"",INDEX(OfficialTeamList[Team Name],MATCH(RobotDesignResults[[#This Row],[Team Number]], OfficialTeamList[Team Number],0)))</f>
        <v/>
      </c>
      <c r="C53" s="115"/>
      <c r="D53" s="115"/>
      <c r="E53" s="115"/>
      <c r="F53" s="115"/>
      <c r="G53" s="115"/>
      <c r="H53" s="115"/>
      <c r="I53" s="115"/>
      <c r="J53" s="115"/>
      <c r="K53" s="115"/>
      <c r="L53" s="115"/>
      <c r="M53" s="61">
        <f>SUM(RobotDesignResults[[#This Row],[Identify - Strategy]:[Communicate - Fun (CV)]])</f>
        <v>0</v>
      </c>
      <c r="N53" s="56">
        <f>IF(RobotDesignResults[[#This Row],[Team Number]]&gt;0,MIN(_xlfn.RANK.EQ(RobotDesignResults[[#This Row],[Robot Design Score]],RobotDesignResults[Robot Design Score],0),NumberOfTeams),NumberOfTeams+1)</f>
        <v>1</v>
      </c>
    </row>
    <row r="54" spans="1:14" ht="30" customHeight="1" x14ac:dyDescent="0.3">
      <c r="A54" s="115"/>
      <c r="B54" s="116" t="str">
        <f>IF(ISNA(INDEX(OfficialTeamList[Team Name],MATCH(RobotDesignResults[[#This Row],[Team Number]], OfficialTeamList[Team Number],0))),"",INDEX(OfficialTeamList[Team Name],MATCH(RobotDesignResults[[#This Row],[Team Number]], OfficialTeamList[Team Number],0)))</f>
        <v/>
      </c>
      <c r="C54" s="115"/>
      <c r="D54" s="115"/>
      <c r="E54" s="115"/>
      <c r="F54" s="115"/>
      <c r="G54" s="115"/>
      <c r="H54" s="115"/>
      <c r="I54" s="115"/>
      <c r="J54" s="115"/>
      <c r="K54" s="115"/>
      <c r="L54" s="115"/>
      <c r="M54" s="61">
        <f>SUM(RobotDesignResults[[#This Row],[Identify - Strategy]:[Communicate - Fun (CV)]])</f>
        <v>0</v>
      </c>
      <c r="N54" s="56">
        <f>IF(RobotDesignResults[[#This Row],[Team Number]]&gt;0,MIN(_xlfn.RANK.EQ(RobotDesignResults[[#This Row],[Robot Design Score]],RobotDesignResults[Robot Design Score],0),NumberOfTeams),NumberOfTeams+1)</f>
        <v>1</v>
      </c>
    </row>
    <row r="55" spans="1:14" ht="30" customHeight="1" x14ac:dyDescent="0.3">
      <c r="A55" s="115"/>
      <c r="B55" s="116" t="str">
        <f>IF(ISNA(INDEX(OfficialTeamList[Team Name],MATCH(RobotDesignResults[[#This Row],[Team Number]], OfficialTeamList[Team Number],0))),"",INDEX(OfficialTeamList[Team Name],MATCH(RobotDesignResults[[#This Row],[Team Number]], OfficialTeamList[Team Number],0)))</f>
        <v/>
      </c>
      <c r="C55" s="115"/>
      <c r="D55" s="115"/>
      <c r="E55" s="115"/>
      <c r="F55" s="115"/>
      <c r="G55" s="115"/>
      <c r="H55" s="115"/>
      <c r="I55" s="115"/>
      <c r="J55" s="115"/>
      <c r="K55" s="115"/>
      <c r="L55" s="115"/>
      <c r="M55" s="61">
        <f>SUM(RobotDesignResults[[#This Row],[Identify - Strategy]:[Communicate - Fun (CV)]])</f>
        <v>0</v>
      </c>
      <c r="N55" s="56">
        <f>IF(RobotDesignResults[[#This Row],[Team Number]]&gt;0,MIN(_xlfn.RANK.EQ(RobotDesignResults[[#This Row],[Robot Design Score]],RobotDesignResults[Robot Design Score],0),NumberOfTeams),NumberOfTeams+1)</f>
        <v>1</v>
      </c>
    </row>
    <row r="56" spans="1:14" ht="30" customHeight="1" x14ac:dyDescent="0.3">
      <c r="A56" s="115"/>
      <c r="B56" s="116" t="str">
        <f>IF(ISNA(INDEX(OfficialTeamList[Team Name],MATCH(RobotDesignResults[[#This Row],[Team Number]], OfficialTeamList[Team Number],0))),"",INDEX(OfficialTeamList[Team Name],MATCH(RobotDesignResults[[#This Row],[Team Number]], OfficialTeamList[Team Number],0)))</f>
        <v/>
      </c>
      <c r="C56" s="115"/>
      <c r="D56" s="115"/>
      <c r="E56" s="115"/>
      <c r="F56" s="115"/>
      <c r="G56" s="115"/>
      <c r="H56" s="115"/>
      <c r="I56" s="115"/>
      <c r="J56" s="115"/>
      <c r="K56" s="115"/>
      <c r="L56" s="115"/>
      <c r="M56" s="61">
        <f>SUM(RobotDesignResults[[#This Row],[Identify - Strategy]:[Communicate - Fun (CV)]])</f>
        <v>0</v>
      </c>
      <c r="N56" s="56">
        <f>IF(RobotDesignResults[[#This Row],[Team Number]]&gt;0,MIN(_xlfn.RANK.EQ(RobotDesignResults[[#This Row],[Robot Design Score]],RobotDesignResults[Robot Design Score],0),NumberOfTeams),NumberOfTeams+1)</f>
        <v>1</v>
      </c>
    </row>
    <row r="57" spans="1:14" ht="30" customHeight="1" x14ac:dyDescent="0.3">
      <c r="A57" s="115"/>
      <c r="B57" s="116" t="str">
        <f>IF(ISNA(INDEX(OfficialTeamList[Team Name],MATCH(RobotDesignResults[[#This Row],[Team Number]], OfficialTeamList[Team Number],0))),"",INDEX(OfficialTeamList[Team Name],MATCH(RobotDesignResults[[#This Row],[Team Number]], OfficialTeamList[Team Number],0)))</f>
        <v/>
      </c>
      <c r="C57" s="115"/>
      <c r="D57" s="115"/>
      <c r="E57" s="115"/>
      <c r="F57" s="115"/>
      <c r="G57" s="115"/>
      <c r="H57" s="115"/>
      <c r="I57" s="115"/>
      <c r="J57" s="115"/>
      <c r="K57" s="115"/>
      <c r="L57" s="115"/>
      <c r="M57" s="61">
        <f>SUM(RobotDesignResults[[#This Row],[Identify - Strategy]:[Communicate - Fun (CV)]])</f>
        <v>0</v>
      </c>
      <c r="N57" s="56">
        <f>IF(RobotDesignResults[[#This Row],[Team Number]]&gt;0,MIN(_xlfn.RANK.EQ(RobotDesignResults[[#This Row],[Robot Design Score]],RobotDesignResults[Robot Design Score],0),NumberOfTeams),NumberOfTeams+1)</f>
        <v>1</v>
      </c>
    </row>
    <row r="58" spans="1:14" ht="30" customHeight="1" x14ac:dyDescent="0.3">
      <c r="A58" s="115"/>
      <c r="B58" s="116" t="str">
        <f>IF(ISNA(INDEX(OfficialTeamList[Team Name],MATCH(RobotDesignResults[[#This Row],[Team Number]], OfficialTeamList[Team Number],0))),"",INDEX(OfficialTeamList[Team Name],MATCH(RobotDesignResults[[#This Row],[Team Number]], OfficialTeamList[Team Number],0)))</f>
        <v/>
      </c>
      <c r="C58" s="115"/>
      <c r="D58" s="115"/>
      <c r="E58" s="115"/>
      <c r="F58" s="115"/>
      <c r="G58" s="115"/>
      <c r="H58" s="115"/>
      <c r="I58" s="115"/>
      <c r="J58" s="115"/>
      <c r="K58" s="115"/>
      <c r="L58" s="115"/>
      <c r="M58" s="61">
        <f>SUM(RobotDesignResults[[#This Row],[Identify - Strategy]:[Communicate - Fun (CV)]])</f>
        <v>0</v>
      </c>
      <c r="N58" s="56">
        <f>IF(RobotDesignResults[[#This Row],[Team Number]]&gt;0,MIN(_xlfn.RANK.EQ(RobotDesignResults[[#This Row],[Robot Design Score]],RobotDesignResults[Robot Design Score],0),NumberOfTeams),NumberOfTeams+1)</f>
        <v>1</v>
      </c>
    </row>
    <row r="59" spans="1:14" ht="30" customHeight="1" x14ac:dyDescent="0.3">
      <c r="A59" s="115"/>
      <c r="B59" s="116" t="str">
        <f>IF(ISNA(INDEX(OfficialTeamList[Team Name],MATCH(RobotDesignResults[[#This Row],[Team Number]], OfficialTeamList[Team Number],0))),"",INDEX(OfficialTeamList[Team Name],MATCH(RobotDesignResults[[#This Row],[Team Number]], OfficialTeamList[Team Number],0)))</f>
        <v/>
      </c>
      <c r="C59" s="115"/>
      <c r="D59" s="115"/>
      <c r="E59" s="115"/>
      <c r="F59" s="115"/>
      <c r="G59" s="115"/>
      <c r="H59" s="115"/>
      <c r="I59" s="115"/>
      <c r="J59" s="115"/>
      <c r="K59" s="115"/>
      <c r="L59" s="115"/>
      <c r="M59" s="61">
        <f>SUM(RobotDesignResults[[#This Row],[Identify - Strategy]:[Communicate - Fun (CV)]])</f>
        <v>0</v>
      </c>
      <c r="N59" s="56">
        <f>IF(RobotDesignResults[[#This Row],[Team Number]]&gt;0,MIN(_xlfn.RANK.EQ(RobotDesignResults[[#This Row],[Robot Design Score]],RobotDesignResults[Robot Design Score],0),NumberOfTeams),NumberOfTeams+1)</f>
        <v>1</v>
      </c>
    </row>
    <row r="60" spans="1:14" ht="30" customHeight="1" x14ac:dyDescent="0.3">
      <c r="A60" s="115"/>
      <c r="B60" s="116" t="str">
        <f>IF(ISNA(INDEX(OfficialTeamList[Team Name],MATCH(RobotDesignResults[[#This Row],[Team Number]], OfficialTeamList[Team Number],0))),"",INDEX(OfficialTeamList[Team Name],MATCH(RobotDesignResults[[#This Row],[Team Number]], OfficialTeamList[Team Number],0)))</f>
        <v/>
      </c>
      <c r="C60" s="115"/>
      <c r="D60" s="115"/>
      <c r="E60" s="115"/>
      <c r="F60" s="115"/>
      <c r="G60" s="115"/>
      <c r="H60" s="115"/>
      <c r="I60" s="115"/>
      <c r="J60" s="115"/>
      <c r="K60" s="115"/>
      <c r="L60" s="115"/>
      <c r="M60" s="61">
        <f>SUM(RobotDesignResults[[#This Row],[Identify - Strategy]:[Communicate - Fun (CV)]])</f>
        <v>0</v>
      </c>
      <c r="N60" s="56">
        <f>IF(RobotDesignResults[[#This Row],[Team Number]]&gt;0,MIN(_xlfn.RANK.EQ(RobotDesignResults[[#This Row],[Robot Design Score]],RobotDesignResults[Robot Design Score],0),NumberOfTeams),NumberOfTeams+1)</f>
        <v>1</v>
      </c>
    </row>
    <row r="61" spans="1:14" ht="30" customHeight="1" x14ac:dyDescent="0.3">
      <c r="A61" s="115"/>
      <c r="B61" s="116" t="str">
        <f>IF(ISNA(INDEX(OfficialTeamList[Team Name],MATCH(RobotDesignResults[[#This Row],[Team Number]], OfficialTeamList[Team Number],0))),"",INDEX(OfficialTeamList[Team Name],MATCH(RobotDesignResults[[#This Row],[Team Number]], OfficialTeamList[Team Number],0)))</f>
        <v/>
      </c>
      <c r="C61" s="115"/>
      <c r="D61" s="115"/>
      <c r="E61" s="115"/>
      <c r="F61" s="115"/>
      <c r="G61" s="115"/>
      <c r="H61" s="115"/>
      <c r="I61" s="115"/>
      <c r="J61" s="115"/>
      <c r="K61" s="115"/>
      <c r="L61" s="115"/>
      <c r="M61" s="61">
        <f>SUM(RobotDesignResults[[#This Row],[Identify - Strategy]:[Communicate - Fun (CV)]])</f>
        <v>0</v>
      </c>
      <c r="N61" s="56">
        <f>IF(RobotDesignResults[[#This Row],[Team Number]]&gt;0,MIN(_xlfn.RANK.EQ(RobotDesignResults[[#This Row],[Robot Design Score]],RobotDesignResults[Robot Design Score],0),NumberOfTeams),NumberOfTeams+1)</f>
        <v>1</v>
      </c>
    </row>
    <row r="62" spans="1:14" ht="30" customHeight="1" x14ac:dyDescent="0.3">
      <c r="A62" s="115"/>
      <c r="B62" s="116" t="str">
        <f>IF(ISNA(INDEX(OfficialTeamList[Team Name],MATCH(RobotDesignResults[[#This Row],[Team Number]], OfficialTeamList[Team Number],0))),"",INDEX(OfficialTeamList[Team Name],MATCH(RobotDesignResults[[#This Row],[Team Number]], OfficialTeamList[Team Number],0)))</f>
        <v/>
      </c>
      <c r="C62" s="115"/>
      <c r="D62" s="115"/>
      <c r="E62" s="115"/>
      <c r="F62" s="115"/>
      <c r="G62" s="115"/>
      <c r="H62" s="115"/>
      <c r="I62" s="115"/>
      <c r="J62" s="115"/>
      <c r="K62" s="115"/>
      <c r="L62" s="115"/>
      <c r="M62" s="61">
        <f>SUM(RobotDesignResults[[#This Row],[Identify - Strategy]:[Communicate - Fun (CV)]])</f>
        <v>0</v>
      </c>
      <c r="N62" s="56">
        <f>IF(RobotDesignResults[[#This Row],[Team Number]]&gt;0,MIN(_xlfn.RANK.EQ(RobotDesignResults[[#This Row],[Robot Design Score]],RobotDesignResults[Robot Design Score],0),NumberOfTeams),NumberOfTeams+1)</f>
        <v>1</v>
      </c>
    </row>
    <row r="63" spans="1:14" ht="30" customHeight="1" x14ac:dyDescent="0.3">
      <c r="A63" s="115"/>
      <c r="B63" s="116" t="str">
        <f>IF(ISNA(INDEX(OfficialTeamList[Team Name],MATCH(RobotDesignResults[[#This Row],[Team Number]], OfficialTeamList[Team Number],0))),"",INDEX(OfficialTeamList[Team Name],MATCH(RobotDesignResults[[#This Row],[Team Number]], OfficialTeamList[Team Number],0)))</f>
        <v/>
      </c>
      <c r="C63" s="115"/>
      <c r="D63" s="115"/>
      <c r="E63" s="115"/>
      <c r="F63" s="115"/>
      <c r="G63" s="115"/>
      <c r="H63" s="115"/>
      <c r="I63" s="115"/>
      <c r="J63" s="115"/>
      <c r="K63" s="115"/>
      <c r="L63" s="115"/>
      <c r="M63" s="61">
        <f>SUM(RobotDesignResults[[#This Row],[Identify - Strategy]:[Communicate - Fun (CV)]])</f>
        <v>0</v>
      </c>
      <c r="N63" s="56">
        <f>IF(RobotDesignResults[[#This Row],[Team Number]]&gt;0,MIN(_xlfn.RANK.EQ(RobotDesignResults[[#This Row],[Robot Design Score]],RobotDesignResults[Robot Design Score],0),NumberOfTeams),NumberOfTeams+1)</f>
        <v>1</v>
      </c>
    </row>
    <row r="64" spans="1:14" ht="30" customHeight="1" x14ac:dyDescent="0.3">
      <c r="A64" s="115"/>
      <c r="B64" s="116" t="str">
        <f>IF(ISNA(INDEX(OfficialTeamList[Team Name],MATCH(RobotDesignResults[[#This Row],[Team Number]], OfficialTeamList[Team Number],0))),"",INDEX(OfficialTeamList[Team Name],MATCH(RobotDesignResults[[#This Row],[Team Number]], OfficialTeamList[Team Number],0)))</f>
        <v/>
      </c>
      <c r="C64" s="115"/>
      <c r="D64" s="115"/>
      <c r="E64" s="115"/>
      <c r="F64" s="115"/>
      <c r="G64" s="115"/>
      <c r="H64" s="115"/>
      <c r="I64" s="115"/>
      <c r="J64" s="115"/>
      <c r="K64" s="115"/>
      <c r="L64" s="115"/>
      <c r="M64" s="61">
        <f>SUM(RobotDesignResults[[#This Row],[Identify - Strategy]:[Communicate - Fun (CV)]])</f>
        <v>0</v>
      </c>
      <c r="N64" s="56">
        <f>IF(RobotDesignResults[[#This Row],[Team Number]]&gt;0,MIN(_xlfn.RANK.EQ(RobotDesignResults[[#This Row],[Robot Design Score]],RobotDesignResults[Robot Design Score],0),NumberOfTeams),NumberOfTeams+1)</f>
        <v>1</v>
      </c>
    </row>
    <row r="65" spans="1:14" ht="30" customHeight="1" x14ac:dyDescent="0.3">
      <c r="A65" s="115"/>
      <c r="B65" s="116" t="str">
        <f>IF(ISNA(INDEX(OfficialTeamList[Team Name],MATCH(RobotDesignResults[[#This Row],[Team Number]], OfficialTeamList[Team Number],0))),"",INDEX(OfficialTeamList[Team Name],MATCH(RobotDesignResults[[#This Row],[Team Number]], OfficialTeamList[Team Number],0)))</f>
        <v/>
      </c>
      <c r="C65" s="115"/>
      <c r="D65" s="115"/>
      <c r="E65" s="115"/>
      <c r="F65" s="115"/>
      <c r="G65" s="115"/>
      <c r="H65" s="115"/>
      <c r="I65" s="115"/>
      <c r="J65" s="115"/>
      <c r="K65" s="115"/>
      <c r="L65" s="115"/>
      <c r="M65" s="61">
        <f>SUM(RobotDesignResults[[#This Row],[Identify - Strategy]:[Communicate - Fun (CV)]])</f>
        <v>0</v>
      </c>
      <c r="N65" s="56">
        <f>IF(RobotDesignResults[[#This Row],[Team Number]]&gt;0,MIN(_xlfn.RANK.EQ(RobotDesignResults[[#This Row],[Robot Design Score]],RobotDesignResults[Robot Design Score],0),NumberOfTeams),NumberOfTeams+1)</f>
        <v>1</v>
      </c>
    </row>
    <row r="66" spans="1:14" ht="30" customHeight="1" x14ac:dyDescent="0.3">
      <c r="A66" s="115"/>
      <c r="B66" s="116" t="str">
        <f>IF(ISNA(INDEX(OfficialTeamList[Team Name],MATCH(RobotDesignResults[[#This Row],[Team Number]], OfficialTeamList[Team Number],0))),"",INDEX(OfficialTeamList[Team Name],MATCH(RobotDesignResults[[#This Row],[Team Number]], OfficialTeamList[Team Number],0)))</f>
        <v/>
      </c>
      <c r="C66" s="115"/>
      <c r="D66" s="115"/>
      <c r="E66" s="115"/>
      <c r="F66" s="115"/>
      <c r="G66" s="115"/>
      <c r="H66" s="115"/>
      <c r="I66" s="115"/>
      <c r="J66" s="115"/>
      <c r="K66" s="115"/>
      <c r="L66" s="115"/>
      <c r="M66" s="61">
        <f>SUM(RobotDesignResults[[#This Row],[Identify - Strategy]:[Communicate - Fun (CV)]])</f>
        <v>0</v>
      </c>
      <c r="N66" s="56">
        <f>IF(RobotDesignResults[[#This Row],[Team Number]]&gt;0,MIN(_xlfn.RANK.EQ(RobotDesignResults[[#This Row],[Robot Design Score]],RobotDesignResults[Robot Design Score],0),NumberOfTeams),NumberOfTeams+1)</f>
        <v>1</v>
      </c>
    </row>
    <row r="67" spans="1:14" ht="30" customHeight="1" x14ac:dyDescent="0.3">
      <c r="A67" s="115"/>
      <c r="B67" s="116" t="str">
        <f>IF(ISNA(INDEX(OfficialTeamList[Team Name],MATCH(RobotDesignResults[[#This Row],[Team Number]], OfficialTeamList[Team Number],0))),"",INDEX(OfficialTeamList[Team Name],MATCH(RobotDesignResults[[#This Row],[Team Number]], OfficialTeamList[Team Number],0)))</f>
        <v/>
      </c>
      <c r="C67" s="115"/>
      <c r="D67" s="115"/>
      <c r="E67" s="115"/>
      <c r="F67" s="115"/>
      <c r="G67" s="115"/>
      <c r="H67" s="115"/>
      <c r="I67" s="115"/>
      <c r="J67" s="115"/>
      <c r="K67" s="115"/>
      <c r="L67" s="115"/>
      <c r="M67" s="61">
        <f>SUM(RobotDesignResults[[#This Row],[Identify - Strategy]:[Communicate - Fun (CV)]])</f>
        <v>0</v>
      </c>
      <c r="N67" s="56">
        <f>IF(RobotDesignResults[[#This Row],[Team Number]]&gt;0,MIN(_xlfn.RANK.EQ(RobotDesignResults[[#This Row],[Robot Design Score]],RobotDesignResults[Robot Design Score],0),NumberOfTeams),NumberOfTeams+1)</f>
        <v>1</v>
      </c>
    </row>
    <row r="68" spans="1:14" ht="30" customHeight="1" x14ac:dyDescent="0.3">
      <c r="A68" s="115"/>
      <c r="B68" s="116" t="str">
        <f>IF(ISNA(INDEX(OfficialTeamList[Team Name],MATCH(RobotDesignResults[[#This Row],[Team Number]], OfficialTeamList[Team Number],0))),"",INDEX(OfficialTeamList[Team Name],MATCH(RobotDesignResults[[#This Row],[Team Number]], OfficialTeamList[Team Number],0)))</f>
        <v/>
      </c>
      <c r="C68" s="115"/>
      <c r="D68" s="115"/>
      <c r="E68" s="115"/>
      <c r="F68" s="115"/>
      <c r="G68" s="115"/>
      <c r="H68" s="115"/>
      <c r="I68" s="115"/>
      <c r="J68" s="115"/>
      <c r="K68" s="115"/>
      <c r="L68" s="115"/>
      <c r="M68" s="61">
        <f>SUM(RobotDesignResults[[#This Row],[Identify - Strategy]:[Communicate - Fun (CV)]])</f>
        <v>0</v>
      </c>
      <c r="N68" s="56">
        <f>IF(RobotDesignResults[[#This Row],[Team Number]]&gt;0,MIN(_xlfn.RANK.EQ(RobotDesignResults[[#This Row],[Robot Design Score]],RobotDesignResults[Robot Design Score],0),NumberOfTeams),NumberOfTeams+1)</f>
        <v>1</v>
      </c>
    </row>
    <row r="69" spans="1:14" ht="30" customHeight="1" x14ac:dyDescent="0.3">
      <c r="A69" s="115"/>
      <c r="B69" s="116" t="str">
        <f>IF(ISNA(INDEX(OfficialTeamList[Team Name],MATCH(RobotDesignResults[[#This Row],[Team Number]], OfficialTeamList[Team Number],0))),"",INDEX(OfficialTeamList[Team Name],MATCH(RobotDesignResults[[#This Row],[Team Number]], OfficialTeamList[Team Number],0)))</f>
        <v/>
      </c>
      <c r="C69" s="115"/>
      <c r="D69" s="115"/>
      <c r="E69" s="115"/>
      <c r="F69" s="115"/>
      <c r="G69" s="115"/>
      <c r="H69" s="115"/>
      <c r="I69" s="115"/>
      <c r="J69" s="115"/>
      <c r="K69" s="115"/>
      <c r="L69" s="115"/>
      <c r="M69" s="61">
        <f>SUM(RobotDesignResults[[#This Row],[Identify - Strategy]:[Communicate - Fun (CV)]])</f>
        <v>0</v>
      </c>
      <c r="N69" s="56">
        <f>IF(RobotDesignResults[[#This Row],[Team Number]]&gt;0,MIN(_xlfn.RANK.EQ(RobotDesignResults[[#This Row],[Robot Design Score]],RobotDesignResults[Robot Design Score],0),NumberOfTeams),NumberOfTeams+1)</f>
        <v>1</v>
      </c>
    </row>
    <row r="70" spans="1:14" ht="30" customHeight="1" x14ac:dyDescent="0.3">
      <c r="A70" s="115"/>
      <c r="B70" s="116" t="str">
        <f>IF(ISNA(INDEX(OfficialTeamList[Team Name],MATCH(RobotDesignResults[[#This Row],[Team Number]], OfficialTeamList[Team Number],0))),"",INDEX(OfficialTeamList[Team Name],MATCH(RobotDesignResults[[#This Row],[Team Number]], OfficialTeamList[Team Number],0)))</f>
        <v/>
      </c>
      <c r="C70" s="115"/>
      <c r="D70" s="115"/>
      <c r="E70" s="115"/>
      <c r="F70" s="115"/>
      <c r="G70" s="115"/>
      <c r="H70" s="115"/>
      <c r="I70" s="115"/>
      <c r="J70" s="115"/>
      <c r="K70" s="115"/>
      <c r="L70" s="115"/>
      <c r="M70" s="61">
        <f>SUM(RobotDesignResults[[#This Row],[Identify - Strategy]:[Communicate - Fun (CV)]])</f>
        <v>0</v>
      </c>
      <c r="N70" s="56">
        <f>IF(RobotDesignResults[[#This Row],[Team Number]]&gt;0,MIN(_xlfn.RANK.EQ(RobotDesignResults[[#This Row],[Robot Design Score]],RobotDesignResults[Robot Design Score],0),NumberOfTeams),NumberOfTeams+1)</f>
        <v>1</v>
      </c>
    </row>
    <row r="71" spans="1:14" ht="30" customHeight="1" x14ac:dyDescent="0.3">
      <c r="A71" s="115"/>
      <c r="B71" s="116" t="str">
        <f>IF(ISNA(INDEX(OfficialTeamList[Team Name],MATCH(RobotDesignResults[[#This Row],[Team Number]], OfficialTeamList[Team Number],0))),"",INDEX(OfficialTeamList[Team Name],MATCH(RobotDesignResults[[#This Row],[Team Number]], OfficialTeamList[Team Number],0)))</f>
        <v/>
      </c>
      <c r="C71" s="115"/>
      <c r="D71" s="115"/>
      <c r="E71" s="115"/>
      <c r="F71" s="115"/>
      <c r="G71" s="115"/>
      <c r="H71" s="115"/>
      <c r="I71" s="115"/>
      <c r="J71" s="115"/>
      <c r="K71" s="115"/>
      <c r="L71" s="115"/>
      <c r="M71" s="61">
        <f>SUM(RobotDesignResults[[#This Row],[Identify - Strategy]:[Communicate - Fun (CV)]])</f>
        <v>0</v>
      </c>
      <c r="N71" s="56">
        <f>IF(RobotDesignResults[[#This Row],[Team Number]]&gt;0,MIN(_xlfn.RANK.EQ(RobotDesignResults[[#This Row],[Robot Design Score]],RobotDesignResults[Robot Design Score],0),NumberOfTeams),NumberOfTeams+1)</f>
        <v>1</v>
      </c>
    </row>
    <row r="72" spans="1:14" ht="30" customHeight="1" x14ac:dyDescent="0.3">
      <c r="A72" s="115"/>
      <c r="B72" s="116" t="str">
        <f>IF(ISNA(INDEX(OfficialTeamList[Team Name],MATCH(RobotDesignResults[[#This Row],[Team Number]], OfficialTeamList[Team Number],0))),"",INDEX(OfficialTeamList[Team Name],MATCH(RobotDesignResults[[#This Row],[Team Number]], OfficialTeamList[Team Number],0)))</f>
        <v/>
      </c>
      <c r="C72" s="115"/>
      <c r="D72" s="115"/>
      <c r="E72" s="115"/>
      <c r="F72" s="115"/>
      <c r="G72" s="115"/>
      <c r="H72" s="115"/>
      <c r="I72" s="115"/>
      <c r="J72" s="115"/>
      <c r="K72" s="115"/>
      <c r="L72" s="115"/>
      <c r="M72" s="61">
        <f>SUM(RobotDesignResults[[#This Row],[Identify - Strategy]:[Communicate - Fun (CV)]])</f>
        <v>0</v>
      </c>
      <c r="N72" s="56">
        <f>IF(RobotDesignResults[[#This Row],[Team Number]]&gt;0,MIN(_xlfn.RANK.EQ(RobotDesignResults[[#This Row],[Robot Design Score]],RobotDesignResults[Robot Design Score],0),NumberOfTeams),NumberOfTeams+1)</f>
        <v>1</v>
      </c>
    </row>
    <row r="73" spans="1:14" ht="30" customHeight="1" x14ac:dyDescent="0.3">
      <c r="A73" s="115"/>
      <c r="B73" s="116" t="str">
        <f>IF(ISNA(INDEX(OfficialTeamList[Team Name],MATCH(RobotDesignResults[[#This Row],[Team Number]], OfficialTeamList[Team Number],0))),"",INDEX(OfficialTeamList[Team Name],MATCH(RobotDesignResults[[#This Row],[Team Number]], OfficialTeamList[Team Number],0)))</f>
        <v/>
      </c>
      <c r="C73" s="115"/>
      <c r="D73" s="115"/>
      <c r="E73" s="115"/>
      <c r="F73" s="115"/>
      <c r="G73" s="115"/>
      <c r="H73" s="115"/>
      <c r="I73" s="115"/>
      <c r="J73" s="115"/>
      <c r="K73" s="115"/>
      <c r="L73" s="115"/>
      <c r="M73" s="61">
        <f>SUM(RobotDesignResults[[#This Row],[Identify - Strategy]:[Communicate - Fun (CV)]])</f>
        <v>0</v>
      </c>
      <c r="N73" s="56">
        <f>IF(RobotDesignResults[[#This Row],[Team Number]]&gt;0,MIN(_xlfn.RANK.EQ(RobotDesignResults[[#This Row],[Robot Design Score]],RobotDesignResults[Robot Design Score],0),NumberOfTeams),NumberOfTeams+1)</f>
        <v>1</v>
      </c>
    </row>
    <row r="74" spans="1:14" ht="30" customHeight="1" x14ac:dyDescent="0.3">
      <c r="A74" s="115"/>
      <c r="B74" s="116" t="str">
        <f>IF(ISNA(INDEX(OfficialTeamList[Team Name],MATCH(RobotDesignResults[[#This Row],[Team Number]], OfficialTeamList[Team Number],0))),"",INDEX(OfficialTeamList[Team Name],MATCH(RobotDesignResults[[#This Row],[Team Number]], OfficialTeamList[Team Number],0)))</f>
        <v/>
      </c>
      <c r="C74" s="115"/>
      <c r="D74" s="115"/>
      <c r="E74" s="115"/>
      <c r="F74" s="115"/>
      <c r="G74" s="115"/>
      <c r="H74" s="115"/>
      <c r="I74" s="115"/>
      <c r="J74" s="115"/>
      <c r="K74" s="115"/>
      <c r="L74" s="115"/>
      <c r="M74" s="61">
        <f>SUM(RobotDesignResults[[#This Row],[Identify - Strategy]:[Communicate - Fun (CV)]])</f>
        <v>0</v>
      </c>
      <c r="N74" s="56">
        <f>IF(RobotDesignResults[[#This Row],[Team Number]]&gt;0,MIN(_xlfn.RANK.EQ(RobotDesignResults[[#This Row],[Robot Design Score]],RobotDesignResults[Robot Design Score],0),NumberOfTeams),NumberOfTeams+1)</f>
        <v>1</v>
      </c>
    </row>
    <row r="75" spans="1:14" ht="30" customHeight="1" x14ac:dyDescent="0.3">
      <c r="A75" s="115"/>
      <c r="B75" s="116" t="str">
        <f>IF(ISNA(INDEX(OfficialTeamList[Team Name],MATCH(RobotDesignResults[[#This Row],[Team Number]], OfficialTeamList[Team Number],0))),"",INDEX(OfficialTeamList[Team Name],MATCH(RobotDesignResults[[#This Row],[Team Number]], OfficialTeamList[Team Number],0)))</f>
        <v/>
      </c>
      <c r="C75" s="115"/>
      <c r="D75" s="115"/>
      <c r="E75" s="115"/>
      <c r="F75" s="115"/>
      <c r="G75" s="115"/>
      <c r="H75" s="115"/>
      <c r="I75" s="115"/>
      <c r="J75" s="115"/>
      <c r="K75" s="115"/>
      <c r="L75" s="115"/>
      <c r="M75" s="61">
        <f>SUM(RobotDesignResults[[#This Row],[Identify - Strategy]:[Communicate - Fun (CV)]])</f>
        <v>0</v>
      </c>
      <c r="N75" s="56">
        <f>IF(RobotDesignResults[[#This Row],[Team Number]]&gt;0,MIN(_xlfn.RANK.EQ(RobotDesignResults[[#This Row],[Robot Design Score]],RobotDesignResults[Robot Design Score],0),NumberOfTeams),NumberOfTeams+1)</f>
        <v>1</v>
      </c>
    </row>
    <row r="76" spans="1:14" ht="30" customHeight="1" x14ac:dyDescent="0.3">
      <c r="A76" s="115"/>
      <c r="B76" s="116" t="str">
        <f>IF(ISNA(INDEX(OfficialTeamList[Team Name],MATCH(RobotDesignResults[[#This Row],[Team Number]], OfficialTeamList[Team Number],0))),"",INDEX(OfficialTeamList[Team Name],MATCH(RobotDesignResults[[#This Row],[Team Number]], OfficialTeamList[Team Number],0)))</f>
        <v/>
      </c>
      <c r="C76" s="115"/>
      <c r="D76" s="115"/>
      <c r="E76" s="115"/>
      <c r="F76" s="115"/>
      <c r="G76" s="115"/>
      <c r="H76" s="115"/>
      <c r="I76" s="115"/>
      <c r="J76" s="115"/>
      <c r="K76" s="115"/>
      <c r="L76" s="115"/>
      <c r="M76" s="61">
        <f>SUM(RobotDesignResults[[#This Row],[Identify - Strategy]:[Communicate - Fun (CV)]])</f>
        <v>0</v>
      </c>
      <c r="N76" s="56">
        <f>IF(RobotDesignResults[[#This Row],[Team Number]]&gt;0,MIN(_xlfn.RANK.EQ(RobotDesignResults[[#This Row],[Robot Design Score]],RobotDesignResults[Robot Design Score],0),NumberOfTeams),NumberOfTeams+1)</f>
        <v>1</v>
      </c>
    </row>
    <row r="77" spans="1:14" ht="30" customHeight="1" x14ac:dyDescent="0.3">
      <c r="A77" s="115"/>
      <c r="B77" s="116" t="str">
        <f>IF(ISNA(INDEX(OfficialTeamList[Team Name],MATCH(RobotDesignResults[[#This Row],[Team Number]], OfficialTeamList[Team Number],0))),"",INDEX(OfficialTeamList[Team Name],MATCH(RobotDesignResults[[#This Row],[Team Number]], OfficialTeamList[Team Number],0)))</f>
        <v/>
      </c>
      <c r="C77" s="115"/>
      <c r="D77" s="115"/>
      <c r="E77" s="115"/>
      <c r="F77" s="115"/>
      <c r="G77" s="115"/>
      <c r="H77" s="115"/>
      <c r="I77" s="115"/>
      <c r="J77" s="115"/>
      <c r="K77" s="115"/>
      <c r="L77" s="115"/>
      <c r="M77" s="61">
        <f>SUM(RobotDesignResults[[#This Row],[Identify - Strategy]:[Communicate - Fun (CV)]])</f>
        <v>0</v>
      </c>
      <c r="N77" s="56">
        <f>IF(RobotDesignResults[[#This Row],[Team Number]]&gt;0,MIN(_xlfn.RANK.EQ(RobotDesignResults[[#This Row],[Robot Design Score]],RobotDesignResults[Robot Design Score],0),NumberOfTeams),NumberOfTeams+1)</f>
        <v>1</v>
      </c>
    </row>
    <row r="78" spans="1:14" ht="30" customHeight="1" x14ac:dyDescent="0.3">
      <c r="A78" s="115"/>
      <c r="B78" s="116" t="str">
        <f>IF(ISNA(INDEX(OfficialTeamList[Team Name],MATCH(RobotDesignResults[[#This Row],[Team Number]], OfficialTeamList[Team Number],0))),"",INDEX(OfficialTeamList[Team Name],MATCH(RobotDesignResults[[#This Row],[Team Number]], OfficialTeamList[Team Number],0)))</f>
        <v/>
      </c>
      <c r="C78" s="115"/>
      <c r="D78" s="115"/>
      <c r="E78" s="115"/>
      <c r="F78" s="115"/>
      <c r="G78" s="115"/>
      <c r="H78" s="115"/>
      <c r="I78" s="115"/>
      <c r="J78" s="115"/>
      <c r="K78" s="115"/>
      <c r="L78" s="115"/>
      <c r="M78" s="61">
        <f>SUM(RobotDesignResults[[#This Row],[Identify - Strategy]:[Communicate - Fun (CV)]])</f>
        <v>0</v>
      </c>
      <c r="N78" s="56">
        <f>IF(RobotDesignResults[[#This Row],[Team Number]]&gt;0,MIN(_xlfn.RANK.EQ(RobotDesignResults[[#This Row],[Robot Design Score]],RobotDesignResults[Robot Design Score],0),NumberOfTeams),NumberOfTeams+1)</f>
        <v>1</v>
      </c>
    </row>
    <row r="79" spans="1:14" ht="30" customHeight="1" x14ac:dyDescent="0.3">
      <c r="A79" s="115"/>
      <c r="B79" s="116" t="str">
        <f>IF(ISNA(INDEX(OfficialTeamList[Team Name],MATCH(RobotDesignResults[[#This Row],[Team Number]], OfficialTeamList[Team Number],0))),"",INDEX(OfficialTeamList[Team Name],MATCH(RobotDesignResults[[#This Row],[Team Number]], OfficialTeamList[Team Number],0)))</f>
        <v/>
      </c>
      <c r="C79" s="115"/>
      <c r="D79" s="115"/>
      <c r="E79" s="115"/>
      <c r="F79" s="115"/>
      <c r="G79" s="115"/>
      <c r="H79" s="115"/>
      <c r="I79" s="115"/>
      <c r="J79" s="115"/>
      <c r="K79" s="115"/>
      <c r="L79" s="115"/>
      <c r="M79" s="61">
        <f>SUM(RobotDesignResults[[#This Row],[Identify - Strategy]:[Communicate - Fun (CV)]])</f>
        <v>0</v>
      </c>
      <c r="N79" s="56">
        <f>IF(RobotDesignResults[[#This Row],[Team Number]]&gt;0,MIN(_xlfn.RANK.EQ(RobotDesignResults[[#This Row],[Robot Design Score]],RobotDesignResults[Robot Design Score],0),NumberOfTeams),NumberOfTeams+1)</f>
        <v>1</v>
      </c>
    </row>
    <row r="80" spans="1:14" ht="30" customHeight="1" x14ac:dyDescent="0.3">
      <c r="A80" s="115"/>
      <c r="B80" s="116" t="str">
        <f>IF(ISNA(INDEX(OfficialTeamList[Team Name],MATCH(RobotDesignResults[[#This Row],[Team Number]], OfficialTeamList[Team Number],0))),"",INDEX(OfficialTeamList[Team Name],MATCH(RobotDesignResults[[#This Row],[Team Number]], OfficialTeamList[Team Number],0)))</f>
        <v/>
      </c>
      <c r="C80" s="115"/>
      <c r="D80" s="115"/>
      <c r="E80" s="115"/>
      <c r="F80" s="115"/>
      <c r="G80" s="115"/>
      <c r="H80" s="115"/>
      <c r="I80" s="115"/>
      <c r="J80" s="115"/>
      <c r="K80" s="115"/>
      <c r="L80" s="115"/>
      <c r="M80" s="61">
        <f>SUM(RobotDesignResults[[#This Row],[Identify - Strategy]:[Communicate - Fun (CV)]])</f>
        <v>0</v>
      </c>
      <c r="N80" s="56">
        <f>IF(RobotDesignResults[[#This Row],[Team Number]]&gt;0,MIN(_xlfn.RANK.EQ(RobotDesignResults[[#This Row],[Robot Design Score]],RobotDesignResults[Robot Design Score],0),NumberOfTeams),NumberOfTeams+1)</f>
        <v>1</v>
      </c>
    </row>
    <row r="81" spans="1:14" ht="30" customHeight="1" x14ac:dyDescent="0.3">
      <c r="A81" s="115"/>
      <c r="B81" s="116" t="str">
        <f>IF(ISNA(INDEX(OfficialTeamList[Team Name],MATCH(RobotDesignResults[[#This Row],[Team Number]], OfficialTeamList[Team Number],0))),"",INDEX(OfficialTeamList[Team Name],MATCH(RobotDesignResults[[#This Row],[Team Number]], OfficialTeamList[Team Number],0)))</f>
        <v/>
      </c>
      <c r="C81" s="115"/>
      <c r="D81" s="115"/>
      <c r="E81" s="115"/>
      <c r="F81" s="115"/>
      <c r="G81" s="115"/>
      <c r="H81" s="115"/>
      <c r="I81" s="115"/>
      <c r="J81" s="115"/>
      <c r="K81" s="115"/>
      <c r="L81" s="115"/>
      <c r="M81" s="61">
        <f>SUM(RobotDesignResults[[#This Row],[Identify - Strategy]:[Communicate - Fun (CV)]])</f>
        <v>0</v>
      </c>
      <c r="N81" s="56">
        <f>IF(RobotDesignResults[[#This Row],[Team Number]]&gt;0,MIN(_xlfn.RANK.EQ(RobotDesignResults[[#This Row],[Robot Design Score]],RobotDesignResults[Robot Design Score],0),NumberOfTeams),NumberOfTeams+1)</f>
        <v>1</v>
      </c>
    </row>
    <row r="82" spans="1:14" ht="30" customHeight="1" x14ac:dyDescent="0.3">
      <c r="A82" s="115"/>
      <c r="B82" s="116" t="str">
        <f>IF(ISNA(INDEX(OfficialTeamList[Team Name],MATCH(RobotDesignResults[[#This Row],[Team Number]], OfficialTeamList[Team Number],0))),"",INDEX(OfficialTeamList[Team Name],MATCH(RobotDesignResults[[#This Row],[Team Number]], OfficialTeamList[Team Number],0)))</f>
        <v/>
      </c>
      <c r="C82" s="115"/>
      <c r="D82" s="115"/>
      <c r="E82" s="115"/>
      <c r="F82" s="115"/>
      <c r="G82" s="115"/>
      <c r="H82" s="115"/>
      <c r="I82" s="115"/>
      <c r="J82" s="115"/>
      <c r="K82" s="115"/>
      <c r="L82" s="115"/>
      <c r="M82" s="61">
        <f>SUM(RobotDesignResults[[#This Row],[Identify - Strategy]:[Communicate - Fun (CV)]])</f>
        <v>0</v>
      </c>
      <c r="N82" s="56">
        <f>IF(RobotDesignResults[[#This Row],[Team Number]]&gt;0,MIN(_xlfn.RANK.EQ(RobotDesignResults[[#This Row],[Robot Design Score]],RobotDesignResults[Robot Design Score],0),NumberOfTeams),NumberOfTeams+1)</f>
        <v>1</v>
      </c>
    </row>
    <row r="83" spans="1:14" ht="30" customHeight="1" x14ac:dyDescent="0.3">
      <c r="A83" s="115"/>
      <c r="B83" s="116" t="str">
        <f>IF(ISNA(INDEX(OfficialTeamList[Team Name],MATCH(RobotDesignResults[[#This Row],[Team Number]], OfficialTeamList[Team Number],0))),"",INDEX(OfficialTeamList[Team Name],MATCH(RobotDesignResults[[#This Row],[Team Number]], OfficialTeamList[Team Number],0)))</f>
        <v/>
      </c>
      <c r="C83" s="115"/>
      <c r="D83" s="115"/>
      <c r="E83" s="115"/>
      <c r="F83" s="115"/>
      <c r="G83" s="115"/>
      <c r="H83" s="115"/>
      <c r="I83" s="115"/>
      <c r="J83" s="115"/>
      <c r="K83" s="115"/>
      <c r="L83" s="115"/>
      <c r="M83" s="61">
        <f>SUM(RobotDesignResults[[#This Row],[Identify - Strategy]:[Communicate - Fun (CV)]])</f>
        <v>0</v>
      </c>
      <c r="N83" s="56">
        <f>IF(RobotDesignResults[[#This Row],[Team Number]]&gt;0,MIN(_xlfn.RANK.EQ(RobotDesignResults[[#This Row],[Robot Design Score]],RobotDesignResults[Robot Design Score],0),NumberOfTeams),NumberOfTeams+1)</f>
        <v>1</v>
      </c>
    </row>
    <row r="84" spans="1:14" ht="30" customHeight="1" x14ac:dyDescent="0.3">
      <c r="A84" s="115"/>
      <c r="B84" s="116" t="str">
        <f>IF(ISNA(INDEX(OfficialTeamList[Team Name],MATCH(RobotDesignResults[[#This Row],[Team Number]], OfficialTeamList[Team Number],0))),"",INDEX(OfficialTeamList[Team Name],MATCH(RobotDesignResults[[#This Row],[Team Number]], OfficialTeamList[Team Number],0)))</f>
        <v/>
      </c>
      <c r="C84" s="115"/>
      <c r="D84" s="115"/>
      <c r="E84" s="115"/>
      <c r="F84" s="115"/>
      <c r="G84" s="115"/>
      <c r="H84" s="115"/>
      <c r="I84" s="115"/>
      <c r="J84" s="115"/>
      <c r="K84" s="115"/>
      <c r="L84" s="115"/>
      <c r="M84" s="61">
        <f>SUM(RobotDesignResults[[#This Row],[Identify - Strategy]:[Communicate - Fun (CV)]])</f>
        <v>0</v>
      </c>
      <c r="N84" s="56">
        <f>IF(RobotDesignResults[[#This Row],[Team Number]]&gt;0,MIN(_xlfn.RANK.EQ(RobotDesignResults[[#This Row],[Robot Design Score]],RobotDesignResults[Robot Design Score],0),NumberOfTeams),NumberOfTeams+1)</f>
        <v>1</v>
      </c>
    </row>
    <row r="85" spans="1:14" ht="30" customHeight="1" x14ac:dyDescent="0.3">
      <c r="A85" s="115"/>
      <c r="B85" s="116" t="str">
        <f>IF(ISNA(INDEX(OfficialTeamList[Team Name],MATCH(RobotDesignResults[[#This Row],[Team Number]], OfficialTeamList[Team Number],0))),"",INDEX(OfficialTeamList[Team Name],MATCH(RobotDesignResults[[#This Row],[Team Number]], OfficialTeamList[Team Number],0)))</f>
        <v/>
      </c>
      <c r="C85" s="115"/>
      <c r="D85" s="115"/>
      <c r="E85" s="115"/>
      <c r="F85" s="115"/>
      <c r="G85" s="115"/>
      <c r="H85" s="115"/>
      <c r="I85" s="115"/>
      <c r="J85" s="115"/>
      <c r="K85" s="115"/>
      <c r="L85" s="115"/>
      <c r="M85" s="61">
        <f>SUM(RobotDesignResults[[#This Row],[Identify - Strategy]:[Communicate - Fun (CV)]])</f>
        <v>0</v>
      </c>
      <c r="N85" s="56">
        <f>IF(RobotDesignResults[[#This Row],[Team Number]]&gt;0,MIN(_xlfn.RANK.EQ(RobotDesignResults[[#This Row],[Robot Design Score]],RobotDesignResults[Robot Design Score],0),NumberOfTeams),NumberOfTeams+1)</f>
        <v>1</v>
      </c>
    </row>
    <row r="86" spans="1:14" ht="30" customHeight="1" x14ac:dyDescent="0.3">
      <c r="A86" s="115"/>
      <c r="B86" s="116" t="str">
        <f>IF(ISNA(INDEX(OfficialTeamList[Team Name],MATCH(RobotDesignResults[[#This Row],[Team Number]], OfficialTeamList[Team Number],0))),"",INDEX(OfficialTeamList[Team Name],MATCH(RobotDesignResults[[#This Row],[Team Number]], OfficialTeamList[Team Number],0)))</f>
        <v/>
      </c>
      <c r="C86" s="115"/>
      <c r="D86" s="115"/>
      <c r="E86" s="115"/>
      <c r="F86" s="115"/>
      <c r="G86" s="115"/>
      <c r="H86" s="115"/>
      <c r="I86" s="115"/>
      <c r="J86" s="115"/>
      <c r="K86" s="115"/>
      <c r="L86" s="115"/>
      <c r="M86" s="61">
        <f>SUM(RobotDesignResults[[#This Row],[Identify - Strategy]:[Communicate - Fun (CV)]])</f>
        <v>0</v>
      </c>
      <c r="N86" s="56">
        <f>IF(RobotDesignResults[[#This Row],[Team Number]]&gt;0,MIN(_xlfn.RANK.EQ(RobotDesignResults[[#This Row],[Robot Design Score]],RobotDesignResults[Robot Design Score],0),NumberOfTeams),NumberOfTeams+1)</f>
        <v>1</v>
      </c>
    </row>
    <row r="87" spans="1:14" ht="30" customHeight="1" x14ac:dyDescent="0.3">
      <c r="A87" s="115"/>
      <c r="B87" s="116" t="str">
        <f>IF(ISNA(INDEX(OfficialTeamList[Team Name],MATCH(RobotDesignResults[[#This Row],[Team Number]], OfficialTeamList[Team Number],0))),"",INDEX(OfficialTeamList[Team Name],MATCH(RobotDesignResults[[#This Row],[Team Number]], OfficialTeamList[Team Number],0)))</f>
        <v/>
      </c>
      <c r="C87" s="115"/>
      <c r="D87" s="115"/>
      <c r="E87" s="115"/>
      <c r="F87" s="115"/>
      <c r="G87" s="115"/>
      <c r="H87" s="115"/>
      <c r="I87" s="115"/>
      <c r="J87" s="115"/>
      <c r="K87" s="115"/>
      <c r="L87" s="115"/>
      <c r="M87" s="61">
        <f>SUM(RobotDesignResults[[#This Row],[Identify - Strategy]:[Communicate - Fun (CV)]])</f>
        <v>0</v>
      </c>
      <c r="N87" s="56">
        <f>IF(RobotDesignResults[[#This Row],[Team Number]]&gt;0,MIN(_xlfn.RANK.EQ(RobotDesignResults[[#This Row],[Robot Design Score]],RobotDesignResults[Robot Design Score],0),NumberOfTeams),NumberOfTeams+1)</f>
        <v>1</v>
      </c>
    </row>
    <row r="88" spans="1:14" ht="30" customHeight="1" x14ac:dyDescent="0.3">
      <c r="A88" s="115"/>
      <c r="B88" s="116" t="str">
        <f>IF(ISNA(INDEX(OfficialTeamList[Team Name],MATCH(RobotDesignResults[[#This Row],[Team Number]], OfficialTeamList[Team Number],0))),"",INDEX(OfficialTeamList[Team Name],MATCH(RobotDesignResults[[#This Row],[Team Number]], OfficialTeamList[Team Number],0)))</f>
        <v/>
      </c>
      <c r="C88" s="115"/>
      <c r="D88" s="115"/>
      <c r="E88" s="115"/>
      <c r="F88" s="115"/>
      <c r="G88" s="115"/>
      <c r="H88" s="115"/>
      <c r="I88" s="115"/>
      <c r="J88" s="115"/>
      <c r="K88" s="115"/>
      <c r="L88" s="115"/>
      <c r="M88" s="61">
        <f>SUM(RobotDesignResults[[#This Row],[Identify - Strategy]:[Communicate - Fun (CV)]])</f>
        <v>0</v>
      </c>
      <c r="N88" s="56">
        <f>IF(RobotDesignResults[[#This Row],[Team Number]]&gt;0,MIN(_xlfn.RANK.EQ(RobotDesignResults[[#This Row],[Robot Design Score]],RobotDesignResults[Robot Design Score],0),NumberOfTeams),NumberOfTeams+1)</f>
        <v>1</v>
      </c>
    </row>
    <row r="89" spans="1:14" ht="30" customHeight="1" x14ac:dyDescent="0.3">
      <c r="A89" s="115"/>
      <c r="B89" s="116" t="str">
        <f>IF(ISNA(INDEX(OfficialTeamList[Team Name],MATCH(RobotDesignResults[[#This Row],[Team Number]], OfficialTeamList[Team Number],0))),"",INDEX(OfficialTeamList[Team Name],MATCH(RobotDesignResults[[#This Row],[Team Number]], OfficialTeamList[Team Number],0)))</f>
        <v/>
      </c>
      <c r="C89" s="115"/>
      <c r="D89" s="115"/>
      <c r="E89" s="115"/>
      <c r="F89" s="115"/>
      <c r="G89" s="115"/>
      <c r="H89" s="115"/>
      <c r="I89" s="115"/>
      <c r="J89" s="115"/>
      <c r="K89" s="115"/>
      <c r="L89" s="115"/>
      <c r="M89" s="61">
        <f>SUM(RobotDesignResults[[#This Row],[Identify - Strategy]:[Communicate - Fun (CV)]])</f>
        <v>0</v>
      </c>
      <c r="N89" s="56">
        <f>IF(RobotDesignResults[[#This Row],[Team Number]]&gt;0,MIN(_xlfn.RANK.EQ(RobotDesignResults[[#This Row],[Robot Design Score]],RobotDesignResults[Robot Design Score],0),NumberOfTeams),NumberOfTeams+1)</f>
        <v>1</v>
      </c>
    </row>
    <row r="90" spans="1:14" ht="30" customHeight="1" x14ac:dyDescent="0.3">
      <c r="A90" s="115"/>
      <c r="B90" s="116" t="str">
        <f>IF(ISNA(INDEX(OfficialTeamList[Team Name],MATCH(RobotDesignResults[[#This Row],[Team Number]], OfficialTeamList[Team Number],0))),"",INDEX(OfficialTeamList[Team Name],MATCH(RobotDesignResults[[#This Row],[Team Number]], OfficialTeamList[Team Number],0)))</f>
        <v/>
      </c>
      <c r="C90" s="115"/>
      <c r="D90" s="115"/>
      <c r="E90" s="115"/>
      <c r="F90" s="115"/>
      <c r="G90" s="115"/>
      <c r="H90" s="115"/>
      <c r="I90" s="115"/>
      <c r="J90" s="115"/>
      <c r="K90" s="115"/>
      <c r="L90" s="115"/>
      <c r="M90" s="61">
        <f>SUM(RobotDesignResults[[#This Row],[Identify - Strategy]:[Communicate - Fun (CV)]])</f>
        <v>0</v>
      </c>
      <c r="N90" s="56">
        <f>IF(RobotDesignResults[[#This Row],[Team Number]]&gt;0,MIN(_xlfn.RANK.EQ(RobotDesignResults[[#This Row],[Robot Design Score]],RobotDesignResults[Robot Design Score],0),NumberOfTeams),NumberOfTeams+1)</f>
        <v>1</v>
      </c>
    </row>
    <row r="91" spans="1:14" ht="30" customHeight="1" x14ac:dyDescent="0.3">
      <c r="A91" s="115"/>
      <c r="B91" s="116" t="str">
        <f>IF(ISNA(INDEX(OfficialTeamList[Team Name],MATCH(RobotDesignResults[[#This Row],[Team Number]], OfficialTeamList[Team Number],0))),"",INDEX(OfficialTeamList[Team Name],MATCH(RobotDesignResults[[#This Row],[Team Number]], OfficialTeamList[Team Number],0)))</f>
        <v/>
      </c>
      <c r="C91" s="115"/>
      <c r="D91" s="115"/>
      <c r="E91" s="115"/>
      <c r="F91" s="115"/>
      <c r="G91" s="115"/>
      <c r="H91" s="115"/>
      <c r="I91" s="115"/>
      <c r="J91" s="115"/>
      <c r="K91" s="115"/>
      <c r="L91" s="115"/>
      <c r="M91" s="61">
        <f>SUM(RobotDesignResults[[#This Row],[Identify - Strategy]:[Communicate - Fun (CV)]])</f>
        <v>0</v>
      </c>
      <c r="N91" s="56">
        <f>IF(RobotDesignResults[[#This Row],[Team Number]]&gt;0,MIN(_xlfn.RANK.EQ(RobotDesignResults[[#This Row],[Robot Design Score]],RobotDesignResults[Robot Design Score],0),NumberOfTeams),NumberOfTeams+1)</f>
        <v>1</v>
      </c>
    </row>
    <row r="92" spans="1:14" ht="30" customHeight="1" x14ac:dyDescent="0.3">
      <c r="A92" s="115"/>
      <c r="B92" s="116" t="str">
        <f>IF(ISNA(INDEX(OfficialTeamList[Team Name],MATCH(RobotDesignResults[[#This Row],[Team Number]], OfficialTeamList[Team Number],0))),"",INDEX(OfficialTeamList[Team Name],MATCH(RobotDesignResults[[#This Row],[Team Number]], OfficialTeamList[Team Number],0)))</f>
        <v/>
      </c>
      <c r="C92" s="115"/>
      <c r="D92" s="115"/>
      <c r="E92" s="115"/>
      <c r="F92" s="115"/>
      <c r="G92" s="115"/>
      <c r="H92" s="115"/>
      <c r="I92" s="115"/>
      <c r="J92" s="115"/>
      <c r="K92" s="115"/>
      <c r="L92" s="115"/>
      <c r="M92" s="61">
        <f>SUM(RobotDesignResults[[#This Row],[Identify - Strategy]:[Communicate - Fun (CV)]])</f>
        <v>0</v>
      </c>
      <c r="N92" s="56">
        <f>IF(RobotDesignResults[[#This Row],[Team Number]]&gt;0,MIN(_xlfn.RANK.EQ(RobotDesignResults[[#This Row],[Robot Design Score]],RobotDesignResults[Robot Design Score],0),NumberOfTeams),NumberOfTeams+1)</f>
        <v>1</v>
      </c>
    </row>
    <row r="93" spans="1:14" ht="30" customHeight="1" x14ac:dyDescent="0.3">
      <c r="A93" s="115"/>
      <c r="B93" s="116" t="str">
        <f>IF(ISNA(INDEX(OfficialTeamList[Team Name],MATCH(RobotDesignResults[[#This Row],[Team Number]], OfficialTeamList[Team Number],0))),"",INDEX(OfficialTeamList[Team Name],MATCH(RobotDesignResults[[#This Row],[Team Number]], OfficialTeamList[Team Number],0)))</f>
        <v/>
      </c>
      <c r="C93" s="115"/>
      <c r="D93" s="115"/>
      <c r="E93" s="115"/>
      <c r="F93" s="115"/>
      <c r="G93" s="115"/>
      <c r="H93" s="115"/>
      <c r="I93" s="115"/>
      <c r="J93" s="115"/>
      <c r="K93" s="115"/>
      <c r="L93" s="115"/>
      <c r="M93" s="61">
        <f>SUM(RobotDesignResults[[#This Row],[Identify - Strategy]:[Communicate - Fun (CV)]])</f>
        <v>0</v>
      </c>
      <c r="N93" s="56">
        <f>IF(RobotDesignResults[[#This Row],[Team Number]]&gt;0,MIN(_xlfn.RANK.EQ(RobotDesignResults[[#This Row],[Robot Design Score]],RobotDesignResults[Robot Design Score],0),NumberOfTeams),NumberOfTeams+1)</f>
        <v>1</v>
      </c>
    </row>
    <row r="94" spans="1:14" ht="30" customHeight="1" x14ac:dyDescent="0.3">
      <c r="A94" s="115"/>
      <c r="B94" s="116" t="str">
        <f>IF(ISNA(INDEX(OfficialTeamList[Team Name],MATCH(RobotDesignResults[[#This Row],[Team Number]], OfficialTeamList[Team Number],0))),"",INDEX(OfficialTeamList[Team Name],MATCH(RobotDesignResults[[#This Row],[Team Number]], OfficialTeamList[Team Number],0)))</f>
        <v/>
      </c>
      <c r="C94" s="115"/>
      <c r="D94" s="115"/>
      <c r="E94" s="115"/>
      <c r="F94" s="115"/>
      <c r="G94" s="115"/>
      <c r="H94" s="115"/>
      <c r="I94" s="115"/>
      <c r="J94" s="115"/>
      <c r="K94" s="115"/>
      <c r="L94" s="115"/>
      <c r="M94" s="61">
        <f>SUM(RobotDesignResults[[#This Row],[Identify - Strategy]:[Communicate - Fun (CV)]])</f>
        <v>0</v>
      </c>
      <c r="N94" s="56">
        <f>IF(RobotDesignResults[[#This Row],[Team Number]]&gt;0,MIN(_xlfn.RANK.EQ(RobotDesignResults[[#This Row],[Robot Design Score]],RobotDesignResults[Robot Design Score],0),NumberOfTeams),NumberOfTeams+1)</f>
        <v>1</v>
      </c>
    </row>
    <row r="95" spans="1:14" ht="30" customHeight="1" x14ac:dyDescent="0.3">
      <c r="A95" s="115"/>
      <c r="B95" s="116" t="str">
        <f>IF(ISNA(INDEX(OfficialTeamList[Team Name],MATCH(RobotDesignResults[[#This Row],[Team Number]], OfficialTeamList[Team Number],0))),"",INDEX(OfficialTeamList[Team Name],MATCH(RobotDesignResults[[#This Row],[Team Number]], OfficialTeamList[Team Number],0)))</f>
        <v/>
      </c>
      <c r="C95" s="115"/>
      <c r="D95" s="115"/>
      <c r="E95" s="115"/>
      <c r="F95" s="115"/>
      <c r="G95" s="115"/>
      <c r="H95" s="115"/>
      <c r="I95" s="115"/>
      <c r="J95" s="115"/>
      <c r="K95" s="115"/>
      <c r="L95" s="115"/>
      <c r="M95" s="61">
        <f>SUM(RobotDesignResults[[#This Row],[Identify - Strategy]:[Communicate - Fun (CV)]])</f>
        <v>0</v>
      </c>
      <c r="N95" s="56">
        <f>IF(RobotDesignResults[[#This Row],[Team Number]]&gt;0,MIN(_xlfn.RANK.EQ(RobotDesignResults[[#This Row],[Robot Design Score]],RobotDesignResults[Robot Design Score],0),NumberOfTeams),NumberOfTeams+1)</f>
        <v>1</v>
      </c>
    </row>
    <row r="96" spans="1:14" ht="30" customHeight="1" x14ac:dyDescent="0.3">
      <c r="A96" s="115"/>
      <c r="B96" s="116" t="str">
        <f>IF(ISNA(INDEX(OfficialTeamList[Team Name],MATCH(RobotDesignResults[[#This Row],[Team Number]], OfficialTeamList[Team Number],0))),"",INDEX(OfficialTeamList[Team Name],MATCH(RobotDesignResults[[#This Row],[Team Number]], OfficialTeamList[Team Number],0)))</f>
        <v/>
      </c>
      <c r="C96" s="115"/>
      <c r="D96" s="115"/>
      <c r="E96" s="115"/>
      <c r="F96" s="115"/>
      <c r="G96" s="115"/>
      <c r="H96" s="115"/>
      <c r="I96" s="115"/>
      <c r="J96" s="115"/>
      <c r="K96" s="115"/>
      <c r="L96" s="115"/>
      <c r="M96" s="61">
        <f>SUM(RobotDesignResults[[#This Row],[Identify - Strategy]:[Communicate - Fun (CV)]])</f>
        <v>0</v>
      </c>
      <c r="N96" s="56">
        <f>IF(RobotDesignResults[[#This Row],[Team Number]]&gt;0,MIN(_xlfn.RANK.EQ(RobotDesignResults[[#This Row],[Robot Design Score]],RobotDesignResults[Robot Design Score],0),NumberOfTeams),NumberOfTeams+1)</f>
        <v>1</v>
      </c>
    </row>
    <row r="97" spans="1:14" ht="30" customHeight="1" x14ac:dyDescent="0.3">
      <c r="A97" s="115"/>
      <c r="B97" s="116" t="str">
        <f>IF(ISNA(INDEX(OfficialTeamList[Team Name],MATCH(RobotDesignResults[[#This Row],[Team Number]], OfficialTeamList[Team Number],0))),"",INDEX(OfficialTeamList[Team Name],MATCH(RobotDesignResults[[#This Row],[Team Number]], OfficialTeamList[Team Number],0)))</f>
        <v/>
      </c>
      <c r="C97" s="115"/>
      <c r="D97" s="115"/>
      <c r="E97" s="115"/>
      <c r="F97" s="115"/>
      <c r="G97" s="115"/>
      <c r="H97" s="115"/>
      <c r="I97" s="115"/>
      <c r="J97" s="115"/>
      <c r="K97" s="115"/>
      <c r="L97" s="115"/>
      <c r="M97" s="61">
        <f>SUM(RobotDesignResults[[#This Row],[Identify - Strategy]:[Communicate - Fun (CV)]])</f>
        <v>0</v>
      </c>
      <c r="N97" s="56">
        <f>IF(RobotDesignResults[[#This Row],[Team Number]]&gt;0,MIN(_xlfn.RANK.EQ(RobotDesignResults[[#This Row],[Robot Design Score]],RobotDesignResults[Robot Design Score],0),NumberOfTeams),NumberOfTeams+1)</f>
        <v>1</v>
      </c>
    </row>
    <row r="98" spans="1:14" ht="30" customHeight="1" x14ac:dyDescent="0.3">
      <c r="A98" s="115"/>
      <c r="B98" s="116" t="str">
        <f>IF(ISNA(INDEX(OfficialTeamList[Team Name],MATCH(RobotDesignResults[[#This Row],[Team Number]], OfficialTeamList[Team Number],0))),"",INDEX(OfficialTeamList[Team Name],MATCH(RobotDesignResults[[#This Row],[Team Number]], OfficialTeamList[Team Number],0)))</f>
        <v/>
      </c>
      <c r="C98" s="115"/>
      <c r="D98" s="115"/>
      <c r="E98" s="115"/>
      <c r="F98" s="115"/>
      <c r="G98" s="115"/>
      <c r="H98" s="115"/>
      <c r="I98" s="115"/>
      <c r="J98" s="115"/>
      <c r="K98" s="115"/>
      <c r="L98" s="115"/>
      <c r="M98" s="61">
        <f>SUM(RobotDesignResults[[#This Row],[Identify - Strategy]:[Communicate - Fun (CV)]])</f>
        <v>0</v>
      </c>
      <c r="N98" s="56">
        <f>IF(RobotDesignResults[[#This Row],[Team Number]]&gt;0,MIN(_xlfn.RANK.EQ(RobotDesignResults[[#This Row],[Robot Design Score]],RobotDesignResults[Robot Design Score],0),NumberOfTeams),NumberOfTeams+1)</f>
        <v>1</v>
      </c>
    </row>
    <row r="99" spans="1:14" ht="30" customHeight="1" x14ac:dyDescent="0.3">
      <c r="A99" s="115"/>
      <c r="B99" s="116" t="str">
        <f>IF(ISNA(INDEX(OfficialTeamList[Team Name],MATCH(RobotDesignResults[[#This Row],[Team Number]], OfficialTeamList[Team Number],0))),"",INDEX(OfficialTeamList[Team Name],MATCH(RobotDesignResults[[#This Row],[Team Number]], OfficialTeamList[Team Number],0)))</f>
        <v/>
      </c>
      <c r="C99" s="115"/>
      <c r="D99" s="115"/>
      <c r="E99" s="115"/>
      <c r="F99" s="115"/>
      <c r="G99" s="115"/>
      <c r="H99" s="115"/>
      <c r="I99" s="115"/>
      <c r="J99" s="115"/>
      <c r="K99" s="115"/>
      <c r="L99" s="115"/>
      <c r="M99" s="61">
        <f>SUM(RobotDesignResults[[#This Row],[Identify - Strategy]:[Communicate - Fun (CV)]])</f>
        <v>0</v>
      </c>
      <c r="N99" s="56">
        <f>IF(RobotDesignResults[[#This Row],[Team Number]]&gt;0,MIN(_xlfn.RANK.EQ(RobotDesignResults[[#This Row],[Robot Design Score]],RobotDesignResults[Robot Design Score],0),NumberOfTeams),NumberOfTeams+1)</f>
        <v>1</v>
      </c>
    </row>
    <row r="100" spans="1:14" ht="30" customHeight="1" x14ac:dyDescent="0.3">
      <c r="A100" s="115"/>
      <c r="B100" s="116" t="str">
        <f>IF(ISNA(INDEX(OfficialTeamList[Team Name],MATCH(RobotDesignResults[[#This Row],[Team Number]], OfficialTeamList[Team Number],0))),"",INDEX(OfficialTeamList[Team Name],MATCH(RobotDesignResults[[#This Row],[Team Number]], OfficialTeamList[Team Number],0)))</f>
        <v/>
      </c>
      <c r="C100" s="115"/>
      <c r="D100" s="115"/>
      <c r="E100" s="115"/>
      <c r="F100" s="115"/>
      <c r="G100" s="115"/>
      <c r="H100" s="115"/>
      <c r="I100" s="115"/>
      <c r="J100" s="115"/>
      <c r="K100" s="115"/>
      <c r="L100" s="115"/>
      <c r="M100" s="61">
        <f>SUM(RobotDesignResults[[#This Row],[Identify - Strategy]:[Communicate - Fun (CV)]])</f>
        <v>0</v>
      </c>
      <c r="N100" s="56">
        <f>IF(RobotDesignResults[[#This Row],[Team Number]]&gt;0,MIN(_xlfn.RANK.EQ(RobotDesignResults[[#This Row],[Robot Design Score]],RobotDesignResults[Robot Design Score],0),NumberOfTeams),NumberOfTeams+1)</f>
        <v>1</v>
      </c>
    </row>
    <row r="101" spans="1:14" ht="30" customHeight="1" x14ac:dyDescent="0.3">
      <c r="A101" s="115"/>
      <c r="B101" s="116" t="str">
        <f>IF(ISNA(INDEX(OfficialTeamList[Team Name],MATCH(RobotDesignResults[[#This Row],[Team Number]], OfficialTeamList[Team Number],0))),"",INDEX(OfficialTeamList[Team Name],MATCH(RobotDesignResults[[#This Row],[Team Number]], OfficialTeamList[Team Number],0)))</f>
        <v/>
      </c>
      <c r="C101" s="115"/>
      <c r="D101" s="115"/>
      <c r="E101" s="115"/>
      <c r="F101" s="115"/>
      <c r="G101" s="115"/>
      <c r="H101" s="115"/>
      <c r="I101" s="115"/>
      <c r="J101" s="115"/>
      <c r="K101" s="115"/>
      <c r="L101" s="115"/>
      <c r="M101" s="61">
        <f>SUM(RobotDesignResults[[#This Row],[Identify - Strategy]:[Communicate - Fun (CV)]])</f>
        <v>0</v>
      </c>
      <c r="N101" s="56">
        <f>IF(RobotDesignResults[[#This Row],[Team Number]]&gt;0,MIN(_xlfn.RANK.EQ(RobotDesignResults[[#This Row],[Robot Design Score]],RobotDesignResults[Robot Design Score],0),NumberOfTeams),NumberOfTeams+1)</f>
        <v>1</v>
      </c>
    </row>
    <row r="102" spans="1:14" ht="30" customHeight="1" x14ac:dyDescent="0.3">
      <c r="A102" s="115"/>
      <c r="B102" s="116" t="str">
        <f>IF(ISNA(INDEX(OfficialTeamList[Team Name],MATCH(RobotDesignResults[[#This Row],[Team Number]], OfficialTeamList[Team Number],0))),"",INDEX(OfficialTeamList[Team Name],MATCH(RobotDesignResults[[#This Row],[Team Number]], OfficialTeamList[Team Number],0)))</f>
        <v/>
      </c>
      <c r="C102" s="115"/>
      <c r="D102" s="115"/>
      <c r="E102" s="115"/>
      <c r="F102" s="115"/>
      <c r="G102" s="115"/>
      <c r="H102" s="115"/>
      <c r="I102" s="115"/>
      <c r="J102" s="115"/>
      <c r="K102" s="115"/>
      <c r="L102" s="115"/>
      <c r="M102" s="61">
        <f>SUM(RobotDesignResults[[#This Row],[Identify - Strategy]:[Communicate - Fun (CV)]])</f>
        <v>0</v>
      </c>
      <c r="N102" s="56">
        <f>IF(RobotDesignResults[[#This Row],[Team Number]]&gt;0,MIN(_xlfn.RANK.EQ(RobotDesignResults[[#This Row],[Robot Design Score]],RobotDesignResults[Robot Design Score],0),NumberOfTeams),NumberOfTeams+1)</f>
        <v>1</v>
      </c>
    </row>
    <row r="103" spans="1:14" ht="30" customHeight="1" x14ac:dyDescent="0.3">
      <c r="A103" s="115"/>
      <c r="B103" s="116" t="str">
        <f>IF(ISNA(INDEX(OfficialTeamList[Team Name],MATCH(RobotDesignResults[[#This Row],[Team Number]], OfficialTeamList[Team Number],0))),"",INDEX(OfficialTeamList[Team Name],MATCH(RobotDesignResults[[#This Row],[Team Number]], OfficialTeamList[Team Number],0)))</f>
        <v/>
      </c>
      <c r="C103" s="115"/>
      <c r="D103" s="115"/>
      <c r="E103" s="115"/>
      <c r="F103" s="115"/>
      <c r="G103" s="115"/>
      <c r="H103" s="115"/>
      <c r="I103" s="115"/>
      <c r="J103" s="115"/>
      <c r="K103" s="115"/>
      <c r="L103" s="115"/>
      <c r="M103" s="61">
        <f>SUM(RobotDesignResults[[#This Row],[Identify - Strategy]:[Communicate - Fun (CV)]])</f>
        <v>0</v>
      </c>
      <c r="N103" s="56">
        <f>IF(RobotDesignResults[[#This Row],[Team Number]]&gt;0,MIN(_xlfn.RANK.EQ(RobotDesignResults[[#This Row],[Robot Design Score]],RobotDesignResults[Robot Design Score],0),NumberOfTeams),NumberOfTeams+1)</f>
        <v>1</v>
      </c>
    </row>
    <row r="104" spans="1:14" ht="30" customHeight="1" x14ac:dyDescent="0.3">
      <c r="A104" s="115"/>
      <c r="B104" s="116" t="str">
        <f>IF(ISNA(INDEX(OfficialTeamList[Team Name],MATCH(RobotDesignResults[[#This Row],[Team Number]], OfficialTeamList[Team Number],0))),"",INDEX(OfficialTeamList[Team Name],MATCH(RobotDesignResults[[#This Row],[Team Number]], OfficialTeamList[Team Number],0)))</f>
        <v/>
      </c>
      <c r="C104" s="115"/>
      <c r="D104" s="115"/>
      <c r="E104" s="115"/>
      <c r="F104" s="115"/>
      <c r="G104" s="115"/>
      <c r="H104" s="115"/>
      <c r="I104" s="115"/>
      <c r="J104" s="115"/>
      <c r="K104" s="115"/>
      <c r="L104" s="115"/>
      <c r="M104" s="61">
        <f>SUM(RobotDesignResults[[#This Row],[Identify - Strategy]:[Communicate - Fun (CV)]])</f>
        <v>0</v>
      </c>
      <c r="N104" s="56">
        <f>IF(RobotDesignResults[[#This Row],[Team Number]]&gt;0,MIN(_xlfn.RANK.EQ(RobotDesignResults[[#This Row],[Robot Design Score]],RobotDesignResults[Robot Design Score],0),NumberOfTeams),NumberOfTeams+1)</f>
        <v>1</v>
      </c>
    </row>
    <row r="105" spans="1:14" ht="30" customHeight="1" x14ac:dyDescent="0.3">
      <c r="A105" s="115"/>
      <c r="B105" s="116" t="str">
        <f>IF(ISNA(INDEX(OfficialTeamList[Team Name],MATCH(RobotDesignResults[[#This Row],[Team Number]], OfficialTeamList[Team Number],0))),"",INDEX(OfficialTeamList[Team Name],MATCH(RobotDesignResults[[#This Row],[Team Number]], OfficialTeamList[Team Number],0)))</f>
        <v/>
      </c>
      <c r="C105" s="115"/>
      <c r="D105" s="115"/>
      <c r="E105" s="115"/>
      <c r="F105" s="115"/>
      <c r="G105" s="115"/>
      <c r="H105" s="115"/>
      <c r="I105" s="115"/>
      <c r="J105" s="115"/>
      <c r="K105" s="115"/>
      <c r="L105" s="115"/>
      <c r="M105" s="61">
        <f>SUM(RobotDesignResults[[#This Row],[Identify - Strategy]:[Communicate - Fun (CV)]])</f>
        <v>0</v>
      </c>
      <c r="N105" s="56">
        <f>IF(RobotDesignResults[[#This Row],[Team Number]]&gt;0,MIN(_xlfn.RANK.EQ(RobotDesignResults[[#This Row],[Robot Design Score]],RobotDesignResults[Robot Design Score],0),NumberOfTeams),NumberOfTeams+1)</f>
        <v>1</v>
      </c>
    </row>
    <row r="106" spans="1:14" ht="30" customHeight="1" x14ac:dyDescent="0.3">
      <c r="A106" s="115"/>
      <c r="B106" s="116" t="str">
        <f>IF(ISNA(INDEX(OfficialTeamList[Team Name],MATCH(RobotDesignResults[[#This Row],[Team Number]], OfficialTeamList[Team Number],0))),"",INDEX(OfficialTeamList[Team Name],MATCH(RobotDesignResults[[#This Row],[Team Number]], OfficialTeamList[Team Number],0)))</f>
        <v/>
      </c>
      <c r="C106" s="115"/>
      <c r="D106" s="115"/>
      <c r="E106" s="115"/>
      <c r="F106" s="115"/>
      <c r="G106" s="115"/>
      <c r="H106" s="115"/>
      <c r="I106" s="115"/>
      <c r="J106" s="115"/>
      <c r="K106" s="115"/>
      <c r="L106" s="115"/>
      <c r="M106" s="61">
        <f>SUM(RobotDesignResults[[#This Row],[Identify - Strategy]:[Communicate - Fun (CV)]])</f>
        <v>0</v>
      </c>
      <c r="N106" s="56">
        <f>IF(RobotDesignResults[[#This Row],[Team Number]]&gt;0,MIN(_xlfn.RANK.EQ(RobotDesignResults[[#This Row],[Robot Design Score]],RobotDesignResults[Robot Design Score],0),NumberOfTeams),NumberOfTeams+1)</f>
        <v>1</v>
      </c>
    </row>
    <row r="107" spans="1:14" ht="30" customHeight="1" x14ac:dyDescent="0.3">
      <c r="A107" s="115"/>
      <c r="B107" s="116" t="str">
        <f>IF(ISNA(INDEX(OfficialTeamList[Team Name],MATCH(RobotDesignResults[[#This Row],[Team Number]], OfficialTeamList[Team Number],0))),"",INDEX(OfficialTeamList[Team Name],MATCH(RobotDesignResults[[#This Row],[Team Number]], OfficialTeamList[Team Number],0)))</f>
        <v/>
      </c>
      <c r="C107" s="115"/>
      <c r="D107" s="115"/>
      <c r="E107" s="115"/>
      <c r="F107" s="115"/>
      <c r="G107" s="115"/>
      <c r="H107" s="115"/>
      <c r="I107" s="115"/>
      <c r="J107" s="115"/>
      <c r="K107" s="115"/>
      <c r="L107" s="115"/>
      <c r="M107" s="61">
        <f>SUM(RobotDesignResults[[#This Row],[Identify - Strategy]:[Communicate - Fun (CV)]])</f>
        <v>0</v>
      </c>
      <c r="N107" s="56">
        <f>IF(RobotDesignResults[[#This Row],[Team Number]]&gt;0,MIN(_xlfn.RANK.EQ(RobotDesignResults[[#This Row],[Robot Design Score]],RobotDesignResults[Robot Design Score],0),NumberOfTeams),NumberOfTeams+1)</f>
        <v>1</v>
      </c>
    </row>
    <row r="108" spans="1:14" ht="30" customHeight="1" x14ac:dyDescent="0.3">
      <c r="A108" s="115"/>
      <c r="B108" s="116" t="str">
        <f>IF(ISNA(INDEX(OfficialTeamList[Team Name],MATCH(RobotDesignResults[[#This Row],[Team Number]], OfficialTeamList[Team Number],0))),"",INDEX(OfficialTeamList[Team Name],MATCH(RobotDesignResults[[#This Row],[Team Number]], OfficialTeamList[Team Number],0)))</f>
        <v/>
      </c>
      <c r="C108" s="115"/>
      <c r="D108" s="115"/>
      <c r="E108" s="115"/>
      <c r="F108" s="115"/>
      <c r="G108" s="115"/>
      <c r="H108" s="115"/>
      <c r="I108" s="115"/>
      <c r="J108" s="115"/>
      <c r="K108" s="115"/>
      <c r="L108" s="115"/>
      <c r="M108" s="61">
        <f>SUM(RobotDesignResults[[#This Row],[Identify - Strategy]:[Communicate - Fun (CV)]])</f>
        <v>0</v>
      </c>
      <c r="N108" s="56">
        <f>IF(RobotDesignResults[[#This Row],[Team Number]]&gt;0,MIN(_xlfn.RANK.EQ(RobotDesignResults[[#This Row],[Robot Design Score]],RobotDesignResults[Robot Design Score],0),NumberOfTeams),NumberOfTeams+1)</f>
        <v>1</v>
      </c>
    </row>
    <row r="109" spans="1:14" ht="30" customHeight="1" x14ac:dyDescent="0.3">
      <c r="A109" s="115"/>
      <c r="B109" s="116" t="str">
        <f>IF(ISNA(INDEX(OfficialTeamList[Team Name],MATCH(RobotDesignResults[[#This Row],[Team Number]], OfficialTeamList[Team Number],0))),"",INDEX(OfficialTeamList[Team Name],MATCH(RobotDesignResults[[#This Row],[Team Number]], OfficialTeamList[Team Number],0)))</f>
        <v/>
      </c>
      <c r="C109" s="115"/>
      <c r="D109" s="115"/>
      <c r="E109" s="115"/>
      <c r="F109" s="115"/>
      <c r="G109" s="115"/>
      <c r="H109" s="115"/>
      <c r="I109" s="115"/>
      <c r="J109" s="115"/>
      <c r="K109" s="115"/>
      <c r="L109" s="115"/>
      <c r="M109" s="61">
        <f>SUM(RobotDesignResults[[#This Row],[Identify - Strategy]:[Communicate - Fun (CV)]])</f>
        <v>0</v>
      </c>
      <c r="N109" s="56">
        <f>IF(RobotDesignResults[[#This Row],[Team Number]]&gt;0,MIN(_xlfn.RANK.EQ(RobotDesignResults[[#This Row],[Robot Design Score]],RobotDesignResults[Robot Design Score],0),NumberOfTeams),NumberOfTeams+1)</f>
        <v>1</v>
      </c>
    </row>
  </sheetData>
  <sheetProtection selectLockedCells="1" sort="0" autoFilter="0"/>
  <protectedRanges>
    <protectedRange sqref="M1:N1048575 A1:XFD1 B1:B1048575" name="AllowRDSort"/>
  </protectedRanges>
  <conditionalFormatting sqref="A4:N109 M2:N2 C3:N3 A2:B3">
    <cfRule type="expression" dxfId="103" priority="5">
      <formula>MOD(ROW(),2)</formula>
    </cfRule>
  </conditionalFormatting>
  <conditionalFormatting sqref="A4:N109 M2:N2 C3:N3 A2:B3">
    <cfRule type="expression" dxfId="102" priority="3">
      <formula>ROW()-NumberOfTeams=1</formula>
    </cfRule>
  </conditionalFormatting>
  <conditionalFormatting sqref="C2:L2">
    <cfRule type="expression" dxfId="101" priority="2">
      <formula>MOD(ROW(),2)</formula>
    </cfRule>
  </conditionalFormatting>
  <conditionalFormatting sqref="C2:L2">
    <cfRule type="expression" dxfId="100" priority="1">
      <formula>ROW()-NumberOfTeams=1</formula>
    </cfRule>
  </conditionalFormatting>
  <printOptions horizontalCentered="1"/>
  <pageMargins left="0.25" right="0.25" top="0.75" bottom="0.75" header="0.3" footer="0.3"/>
  <pageSetup scale="69" fitToHeight="0" orientation="portrait" horizontalDpi="1200" verticalDpi="1200" r:id="rId1"/>
  <headerFooter>
    <oddHeader>&amp;C&amp;"-,Bold"&amp;36Robot Design Input</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sheetPr>
  <dimension ref="A1:H109"/>
  <sheetViews>
    <sheetView zoomScaleNormal="100" workbookViewId="0">
      <selection activeCell="B1" sqref="B1"/>
    </sheetView>
  </sheetViews>
  <sheetFormatPr defaultColWidth="8.88671875" defaultRowHeight="30" customHeight="1" x14ac:dyDescent="0.3"/>
  <cols>
    <col min="1" max="1" width="7.44140625" style="83" customWidth="1"/>
    <col min="2" max="2" width="33.77734375" style="83" customWidth="1"/>
    <col min="3" max="5" width="7.44140625" style="83" customWidth="1"/>
    <col min="6" max="7" width="7.44140625" style="83" hidden="1" customWidth="1"/>
    <col min="8" max="8" width="10.44140625" style="122" customWidth="1"/>
    <col min="9" max="16384" width="8.88671875" style="6"/>
  </cols>
  <sheetData>
    <row r="1" spans="1:8" s="87" customFormat="1" ht="169.65" customHeight="1" x14ac:dyDescent="0.3">
      <c r="A1" s="88" t="s">
        <v>29</v>
      </c>
      <c r="B1" s="85" t="s">
        <v>9</v>
      </c>
      <c r="C1" s="86" t="s">
        <v>58</v>
      </c>
      <c r="D1" s="86" t="s">
        <v>59</v>
      </c>
      <c r="E1" s="86" t="s">
        <v>60</v>
      </c>
      <c r="F1" s="86" t="s">
        <v>61</v>
      </c>
      <c r="G1" s="86" t="s">
        <v>62</v>
      </c>
      <c r="H1" s="121" t="s">
        <v>57</v>
      </c>
    </row>
    <row r="2" spans="1:8" ht="30" customHeight="1" x14ac:dyDescent="0.3">
      <c r="A2" s="82"/>
      <c r="B2" s="82"/>
      <c r="C2" s="82"/>
      <c r="D2" s="82"/>
      <c r="E2" s="82"/>
      <c r="F2" s="82"/>
      <c r="G2" s="82"/>
      <c r="H2" s="124">
        <f t="shared" ref="H2:H33" si="0">MAX(C2:G2)</f>
        <v>0</v>
      </c>
    </row>
    <row r="3" spans="1:8" ht="30" customHeight="1" x14ac:dyDescent="0.3">
      <c r="A3" s="82"/>
      <c r="B3" s="82"/>
      <c r="C3" s="82"/>
      <c r="D3" s="82"/>
      <c r="E3" s="82"/>
      <c r="F3" s="82"/>
      <c r="G3" s="82"/>
      <c r="H3" s="124">
        <f t="shared" si="0"/>
        <v>0</v>
      </c>
    </row>
    <row r="4" spans="1:8" ht="30" customHeight="1" x14ac:dyDescent="0.3">
      <c r="A4" s="82"/>
      <c r="B4" s="82"/>
      <c r="C4" s="82"/>
      <c r="D4" s="82"/>
      <c r="E4" s="82"/>
      <c r="F4" s="82"/>
      <c r="G4" s="82"/>
      <c r="H4" s="124">
        <f t="shared" si="0"/>
        <v>0</v>
      </c>
    </row>
    <row r="5" spans="1:8" ht="30" customHeight="1" x14ac:dyDescent="0.3">
      <c r="A5" s="82"/>
      <c r="B5" s="82"/>
      <c r="C5" s="82"/>
      <c r="D5" s="82"/>
      <c r="E5" s="82"/>
      <c r="F5" s="82"/>
      <c r="G5" s="82"/>
      <c r="H5" s="124">
        <f t="shared" si="0"/>
        <v>0</v>
      </c>
    </row>
    <row r="6" spans="1:8" ht="30" customHeight="1" x14ac:dyDescent="0.3">
      <c r="A6" s="82"/>
      <c r="B6" s="82"/>
      <c r="C6" s="82"/>
      <c r="D6" s="82"/>
      <c r="E6" s="82"/>
      <c r="F6" s="82"/>
      <c r="G6" s="82"/>
      <c r="H6" s="124">
        <f t="shared" si="0"/>
        <v>0</v>
      </c>
    </row>
    <row r="7" spans="1:8" ht="30" customHeight="1" x14ac:dyDescent="0.3">
      <c r="A7" s="82"/>
      <c r="B7" s="82"/>
      <c r="C7" s="82"/>
      <c r="D7" s="82"/>
      <c r="E7" s="82"/>
      <c r="F7" s="82"/>
      <c r="G7" s="82"/>
      <c r="H7" s="124">
        <f t="shared" si="0"/>
        <v>0</v>
      </c>
    </row>
    <row r="8" spans="1:8" ht="30" customHeight="1" x14ac:dyDescent="0.3">
      <c r="A8" s="82"/>
      <c r="B8" s="82"/>
      <c r="C8" s="82"/>
      <c r="D8" s="82"/>
      <c r="E8" s="82"/>
      <c r="F8" s="82"/>
      <c r="G8" s="82"/>
      <c r="H8" s="124">
        <f t="shared" si="0"/>
        <v>0</v>
      </c>
    </row>
    <row r="9" spans="1:8" ht="30" customHeight="1" x14ac:dyDescent="0.3">
      <c r="A9" s="82"/>
      <c r="B9" s="82"/>
      <c r="C9" s="82"/>
      <c r="D9" s="82"/>
      <c r="E9" s="82"/>
      <c r="F9" s="82"/>
      <c r="G9" s="82"/>
      <c r="H9" s="124">
        <f t="shared" si="0"/>
        <v>0</v>
      </c>
    </row>
    <row r="10" spans="1:8" ht="30" customHeight="1" x14ac:dyDescent="0.3">
      <c r="A10" s="82"/>
      <c r="B10" s="82"/>
      <c r="C10" s="82"/>
      <c r="D10" s="82"/>
      <c r="E10" s="82"/>
      <c r="F10" s="82"/>
      <c r="G10" s="82"/>
      <c r="H10" s="124">
        <f t="shared" si="0"/>
        <v>0</v>
      </c>
    </row>
    <row r="11" spans="1:8" ht="30" customHeight="1" x14ac:dyDescent="0.3">
      <c r="A11" s="82"/>
      <c r="B11" s="82"/>
      <c r="C11" s="82"/>
      <c r="D11" s="82"/>
      <c r="E11" s="82"/>
      <c r="F11" s="82"/>
      <c r="G11" s="82"/>
      <c r="H11" s="124">
        <f t="shared" si="0"/>
        <v>0</v>
      </c>
    </row>
    <row r="12" spans="1:8" ht="30" customHeight="1" x14ac:dyDescent="0.3">
      <c r="A12" s="82"/>
      <c r="B12" s="82"/>
      <c r="C12" s="82"/>
      <c r="D12" s="82"/>
      <c r="E12" s="82"/>
      <c r="F12" s="82"/>
      <c r="G12" s="82"/>
      <c r="H12" s="124">
        <f t="shared" si="0"/>
        <v>0</v>
      </c>
    </row>
    <row r="13" spans="1:8" ht="30" customHeight="1" x14ac:dyDescent="0.3">
      <c r="A13" s="82"/>
      <c r="B13" s="82"/>
      <c r="C13" s="82"/>
      <c r="D13" s="82"/>
      <c r="E13" s="82"/>
      <c r="F13" s="82"/>
      <c r="G13" s="82"/>
      <c r="H13" s="124">
        <f t="shared" si="0"/>
        <v>0</v>
      </c>
    </row>
    <row r="14" spans="1:8" ht="30" customHeight="1" x14ac:dyDescent="0.3">
      <c r="A14" s="82"/>
      <c r="B14" s="82"/>
      <c r="C14" s="82"/>
      <c r="D14" s="82"/>
      <c r="E14" s="82"/>
      <c r="F14" s="82"/>
      <c r="G14" s="82"/>
      <c r="H14" s="124">
        <f t="shared" si="0"/>
        <v>0</v>
      </c>
    </row>
    <row r="15" spans="1:8" ht="30" customHeight="1" x14ac:dyDescent="0.3">
      <c r="A15" s="82"/>
      <c r="B15" s="82"/>
      <c r="C15" s="82"/>
      <c r="D15" s="82"/>
      <c r="E15" s="82"/>
      <c r="F15" s="82"/>
      <c r="G15" s="82"/>
      <c r="H15" s="124">
        <f t="shared" si="0"/>
        <v>0</v>
      </c>
    </row>
    <row r="16" spans="1:8" ht="30" customHeight="1" x14ac:dyDescent="0.3">
      <c r="A16" s="82"/>
      <c r="B16" s="82"/>
      <c r="C16" s="82"/>
      <c r="D16" s="82"/>
      <c r="E16" s="82"/>
      <c r="F16" s="82"/>
      <c r="G16" s="82"/>
      <c r="H16" s="124">
        <f t="shared" si="0"/>
        <v>0</v>
      </c>
    </row>
    <row r="17" spans="1:8" ht="30" customHeight="1" x14ac:dyDescent="0.3">
      <c r="A17" s="82"/>
      <c r="B17" s="82"/>
      <c r="C17" s="82"/>
      <c r="D17" s="82"/>
      <c r="E17" s="82"/>
      <c r="F17" s="82"/>
      <c r="G17" s="82"/>
      <c r="H17" s="124">
        <f t="shared" si="0"/>
        <v>0</v>
      </c>
    </row>
    <row r="18" spans="1:8" ht="30" customHeight="1" x14ac:dyDescent="0.3">
      <c r="A18" s="82"/>
      <c r="B18" s="82"/>
      <c r="C18" s="82"/>
      <c r="D18" s="82"/>
      <c r="E18" s="82"/>
      <c r="F18" s="82"/>
      <c r="G18" s="82"/>
      <c r="H18" s="124">
        <f t="shared" si="0"/>
        <v>0</v>
      </c>
    </row>
    <row r="19" spans="1:8" ht="30" customHeight="1" x14ac:dyDescent="0.3">
      <c r="A19" s="82"/>
      <c r="B19" s="82"/>
      <c r="C19" s="82"/>
      <c r="D19" s="82"/>
      <c r="E19" s="82"/>
      <c r="F19" s="82"/>
      <c r="G19" s="82"/>
      <c r="H19" s="124">
        <f t="shared" si="0"/>
        <v>0</v>
      </c>
    </row>
    <row r="20" spans="1:8" ht="30" customHeight="1" x14ac:dyDescent="0.3">
      <c r="A20" s="82"/>
      <c r="B20" s="82"/>
      <c r="C20" s="82"/>
      <c r="D20" s="82"/>
      <c r="E20" s="82"/>
      <c r="F20" s="82"/>
      <c r="G20" s="82"/>
      <c r="H20" s="124">
        <f t="shared" si="0"/>
        <v>0</v>
      </c>
    </row>
    <row r="21" spans="1:8" ht="30" customHeight="1" x14ac:dyDescent="0.3">
      <c r="A21" s="82"/>
      <c r="B21" s="82"/>
      <c r="C21" s="82"/>
      <c r="D21" s="82"/>
      <c r="E21" s="82"/>
      <c r="F21" s="82"/>
      <c r="G21" s="82"/>
      <c r="H21" s="124">
        <f t="shared" si="0"/>
        <v>0</v>
      </c>
    </row>
    <row r="22" spans="1:8" ht="30" customHeight="1" x14ac:dyDescent="0.3">
      <c r="A22" s="82"/>
      <c r="B22" s="82"/>
      <c r="C22" s="82"/>
      <c r="D22" s="82"/>
      <c r="E22" s="82"/>
      <c r="F22" s="82"/>
      <c r="G22" s="82"/>
      <c r="H22" s="124">
        <f t="shared" si="0"/>
        <v>0</v>
      </c>
    </row>
    <row r="23" spans="1:8" ht="30" customHeight="1" x14ac:dyDescent="0.3">
      <c r="A23" s="82"/>
      <c r="B23" s="82"/>
      <c r="C23" s="82"/>
      <c r="D23" s="82"/>
      <c r="E23" s="82"/>
      <c r="F23" s="82"/>
      <c r="G23" s="82"/>
      <c r="H23" s="124">
        <f t="shared" si="0"/>
        <v>0</v>
      </c>
    </row>
    <row r="24" spans="1:8" ht="30" customHeight="1" x14ac:dyDescent="0.3">
      <c r="A24" s="82"/>
      <c r="B24" s="82"/>
      <c r="C24" s="82"/>
      <c r="D24" s="82"/>
      <c r="E24" s="82"/>
      <c r="F24" s="82"/>
      <c r="G24" s="82"/>
      <c r="H24" s="124">
        <f t="shared" si="0"/>
        <v>0</v>
      </c>
    </row>
    <row r="25" spans="1:8" ht="30" customHeight="1" x14ac:dyDescent="0.3">
      <c r="A25" s="82"/>
      <c r="B25" s="82"/>
      <c r="C25" s="82"/>
      <c r="D25" s="82"/>
      <c r="E25" s="82"/>
      <c r="F25" s="82"/>
      <c r="G25" s="82"/>
      <c r="H25" s="124">
        <f t="shared" si="0"/>
        <v>0</v>
      </c>
    </row>
    <row r="26" spans="1:8" ht="30" customHeight="1" x14ac:dyDescent="0.3">
      <c r="A26" s="82"/>
      <c r="B26" s="82"/>
      <c r="C26" s="82"/>
      <c r="D26" s="82"/>
      <c r="E26" s="82"/>
      <c r="F26" s="82"/>
      <c r="G26" s="82"/>
      <c r="H26" s="124">
        <f t="shared" si="0"/>
        <v>0</v>
      </c>
    </row>
    <row r="27" spans="1:8" ht="30" customHeight="1" x14ac:dyDescent="0.3">
      <c r="A27" s="82"/>
      <c r="B27" s="82"/>
      <c r="C27" s="82"/>
      <c r="D27" s="82"/>
      <c r="E27" s="82"/>
      <c r="F27" s="82"/>
      <c r="G27" s="82"/>
      <c r="H27" s="124">
        <f t="shared" si="0"/>
        <v>0</v>
      </c>
    </row>
    <row r="28" spans="1:8" ht="30" customHeight="1" x14ac:dyDescent="0.3">
      <c r="A28" s="82"/>
      <c r="B28" s="82"/>
      <c r="C28" s="82"/>
      <c r="D28" s="82"/>
      <c r="E28" s="82"/>
      <c r="F28" s="82"/>
      <c r="G28" s="82"/>
      <c r="H28" s="124">
        <f t="shared" si="0"/>
        <v>0</v>
      </c>
    </row>
    <row r="29" spans="1:8" ht="30" customHeight="1" x14ac:dyDescent="0.3">
      <c r="A29" s="82"/>
      <c r="B29" s="82"/>
      <c r="C29" s="82"/>
      <c r="D29" s="82"/>
      <c r="E29" s="82"/>
      <c r="F29" s="82"/>
      <c r="G29" s="82"/>
      <c r="H29" s="124">
        <f t="shared" si="0"/>
        <v>0</v>
      </c>
    </row>
    <row r="30" spans="1:8" ht="30" customHeight="1" x14ac:dyDescent="0.3">
      <c r="A30" s="82"/>
      <c r="B30" s="82"/>
      <c r="C30" s="82"/>
      <c r="D30" s="82"/>
      <c r="E30" s="82"/>
      <c r="F30" s="82"/>
      <c r="G30" s="82"/>
      <c r="H30" s="124">
        <f t="shared" si="0"/>
        <v>0</v>
      </c>
    </row>
    <row r="31" spans="1:8" ht="30" customHeight="1" x14ac:dyDescent="0.3">
      <c r="A31" s="82"/>
      <c r="B31" s="82"/>
      <c r="C31" s="82"/>
      <c r="D31" s="82"/>
      <c r="E31" s="82"/>
      <c r="F31" s="82"/>
      <c r="G31" s="82"/>
      <c r="H31" s="124">
        <f t="shared" si="0"/>
        <v>0</v>
      </c>
    </row>
    <row r="32" spans="1:8" ht="30" customHeight="1" x14ac:dyDescent="0.3">
      <c r="A32" s="82"/>
      <c r="B32" s="82"/>
      <c r="C32" s="82"/>
      <c r="D32" s="82"/>
      <c r="E32" s="82"/>
      <c r="F32" s="82"/>
      <c r="G32" s="82"/>
      <c r="H32" s="124">
        <f t="shared" si="0"/>
        <v>0</v>
      </c>
    </row>
    <row r="33" spans="1:8" ht="30" customHeight="1" x14ac:dyDescent="0.3">
      <c r="A33" s="82"/>
      <c r="B33" s="82"/>
      <c r="C33" s="82"/>
      <c r="D33" s="82"/>
      <c r="E33" s="82"/>
      <c r="F33" s="82"/>
      <c r="G33" s="82"/>
      <c r="H33" s="124">
        <f t="shared" si="0"/>
        <v>0</v>
      </c>
    </row>
    <row r="34" spans="1:8" ht="30" customHeight="1" x14ac:dyDescent="0.3">
      <c r="A34" s="82"/>
      <c r="B34" s="82"/>
      <c r="C34" s="82"/>
      <c r="D34" s="82"/>
      <c r="E34" s="82"/>
      <c r="F34" s="82"/>
      <c r="G34" s="82"/>
      <c r="H34" s="124">
        <f t="shared" ref="H34:H65" si="1">MAX(C34:G34)</f>
        <v>0</v>
      </c>
    </row>
    <row r="35" spans="1:8" ht="30" customHeight="1" x14ac:dyDescent="0.3">
      <c r="A35" s="82"/>
      <c r="B35" s="82"/>
      <c r="C35" s="82"/>
      <c r="D35" s="82"/>
      <c r="E35" s="82"/>
      <c r="F35" s="82"/>
      <c r="G35" s="82"/>
      <c r="H35" s="124">
        <f t="shared" si="1"/>
        <v>0</v>
      </c>
    </row>
    <row r="36" spans="1:8" ht="30" customHeight="1" x14ac:dyDescent="0.3">
      <c r="A36" s="82"/>
      <c r="B36" s="82"/>
      <c r="C36" s="82"/>
      <c r="D36" s="82"/>
      <c r="E36" s="82"/>
      <c r="F36" s="82"/>
      <c r="G36" s="82"/>
      <c r="H36" s="124">
        <f t="shared" si="1"/>
        <v>0</v>
      </c>
    </row>
    <row r="37" spans="1:8" ht="30" customHeight="1" x14ac:dyDescent="0.3">
      <c r="A37" s="82"/>
      <c r="B37" s="82"/>
      <c r="C37" s="82"/>
      <c r="D37" s="82"/>
      <c r="E37" s="82"/>
      <c r="F37" s="82"/>
      <c r="G37" s="82"/>
      <c r="H37" s="124">
        <f t="shared" si="1"/>
        <v>0</v>
      </c>
    </row>
    <row r="38" spans="1:8" ht="30" customHeight="1" x14ac:dyDescent="0.3">
      <c r="A38" s="82"/>
      <c r="B38" s="82"/>
      <c r="C38" s="82"/>
      <c r="D38" s="82"/>
      <c r="E38" s="82"/>
      <c r="F38" s="82"/>
      <c r="G38" s="82"/>
      <c r="H38" s="124">
        <f t="shared" si="1"/>
        <v>0</v>
      </c>
    </row>
    <row r="39" spans="1:8" ht="30" customHeight="1" x14ac:dyDescent="0.3">
      <c r="A39" s="82"/>
      <c r="B39" s="82"/>
      <c r="C39" s="82"/>
      <c r="D39" s="82"/>
      <c r="E39" s="82"/>
      <c r="F39" s="82"/>
      <c r="G39" s="82"/>
      <c r="H39" s="124">
        <f t="shared" si="1"/>
        <v>0</v>
      </c>
    </row>
    <row r="40" spans="1:8" ht="30" customHeight="1" x14ac:dyDescent="0.3">
      <c r="A40" s="82"/>
      <c r="B40" s="82"/>
      <c r="C40" s="82"/>
      <c r="D40" s="82"/>
      <c r="E40" s="82"/>
      <c r="F40" s="82"/>
      <c r="G40" s="82"/>
      <c r="H40" s="124">
        <f t="shared" si="1"/>
        <v>0</v>
      </c>
    </row>
    <row r="41" spans="1:8" ht="30" customHeight="1" x14ac:dyDescent="0.3">
      <c r="A41" s="82"/>
      <c r="B41" s="82"/>
      <c r="C41" s="82"/>
      <c r="D41" s="82"/>
      <c r="E41" s="82"/>
      <c r="F41" s="82"/>
      <c r="G41" s="82"/>
      <c r="H41" s="124">
        <f t="shared" si="1"/>
        <v>0</v>
      </c>
    </row>
    <row r="42" spans="1:8" ht="30" customHeight="1" x14ac:dyDescent="0.3">
      <c r="A42" s="82"/>
      <c r="B42" s="82"/>
      <c r="C42" s="82"/>
      <c r="D42" s="82"/>
      <c r="E42" s="82"/>
      <c r="F42" s="82"/>
      <c r="G42" s="82"/>
      <c r="H42" s="124">
        <f t="shared" si="1"/>
        <v>0</v>
      </c>
    </row>
    <row r="43" spans="1:8" ht="30" customHeight="1" x14ac:dyDescent="0.3">
      <c r="A43" s="82"/>
      <c r="B43" s="82"/>
      <c r="C43" s="82"/>
      <c r="D43" s="82"/>
      <c r="E43" s="82"/>
      <c r="F43" s="82"/>
      <c r="G43" s="82"/>
      <c r="H43" s="124">
        <f t="shared" si="1"/>
        <v>0</v>
      </c>
    </row>
    <row r="44" spans="1:8" ht="30" customHeight="1" x14ac:dyDescent="0.3">
      <c r="A44" s="82"/>
      <c r="B44" s="82"/>
      <c r="C44" s="82"/>
      <c r="D44" s="82"/>
      <c r="E44" s="82"/>
      <c r="F44" s="82"/>
      <c r="G44" s="82"/>
      <c r="H44" s="124">
        <f t="shared" si="1"/>
        <v>0</v>
      </c>
    </row>
    <row r="45" spans="1:8" ht="30" customHeight="1" x14ac:dyDescent="0.3">
      <c r="A45" s="82"/>
      <c r="B45" s="82"/>
      <c r="C45" s="82"/>
      <c r="D45" s="82"/>
      <c r="E45" s="82"/>
      <c r="F45" s="82"/>
      <c r="G45" s="82"/>
      <c r="H45" s="124">
        <f t="shared" si="1"/>
        <v>0</v>
      </c>
    </row>
    <row r="46" spans="1:8" ht="30" customHeight="1" x14ac:dyDescent="0.3">
      <c r="A46" s="82"/>
      <c r="B46" s="82"/>
      <c r="C46" s="82"/>
      <c r="D46" s="82"/>
      <c r="E46" s="82"/>
      <c r="F46" s="82"/>
      <c r="G46" s="82"/>
      <c r="H46" s="124">
        <f t="shared" si="1"/>
        <v>0</v>
      </c>
    </row>
    <row r="47" spans="1:8" ht="30" customHeight="1" x14ac:dyDescent="0.3">
      <c r="A47" s="82"/>
      <c r="B47" s="82"/>
      <c r="C47" s="82"/>
      <c r="D47" s="82"/>
      <c r="E47" s="82"/>
      <c r="F47" s="82"/>
      <c r="G47" s="82"/>
      <c r="H47" s="124">
        <f t="shared" si="1"/>
        <v>0</v>
      </c>
    </row>
    <row r="48" spans="1:8" ht="30" customHeight="1" x14ac:dyDescent="0.3">
      <c r="A48" s="82"/>
      <c r="B48" s="82"/>
      <c r="C48" s="82"/>
      <c r="D48" s="82"/>
      <c r="E48" s="82"/>
      <c r="F48" s="82"/>
      <c r="G48" s="82"/>
      <c r="H48" s="124">
        <f t="shared" si="1"/>
        <v>0</v>
      </c>
    </row>
    <row r="49" spans="1:8" ht="30" customHeight="1" x14ac:dyDescent="0.3">
      <c r="A49" s="82"/>
      <c r="B49" s="82"/>
      <c r="C49" s="82"/>
      <c r="D49" s="82"/>
      <c r="E49" s="82"/>
      <c r="F49" s="82"/>
      <c r="G49" s="82"/>
      <c r="H49" s="124">
        <f t="shared" si="1"/>
        <v>0</v>
      </c>
    </row>
    <row r="50" spans="1:8" ht="30" customHeight="1" x14ac:dyDescent="0.3">
      <c r="A50" s="82"/>
      <c r="B50" s="82"/>
      <c r="C50" s="82"/>
      <c r="D50" s="82"/>
      <c r="E50" s="82"/>
      <c r="F50" s="82"/>
      <c r="G50" s="82"/>
      <c r="H50" s="124">
        <f t="shared" si="1"/>
        <v>0</v>
      </c>
    </row>
    <row r="51" spans="1:8" ht="30" customHeight="1" x14ac:dyDescent="0.3">
      <c r="A51" s="82"/>
      <c r="B51" s="82"/>
      <c r="C51" s="82"/>
      <c r="D51" s="82"/>
      <c r="E51" s="82"/>
      <c r="F51" s="82"/>
      <c r="G51" s="82"/>
      <c r="H51" s="124">
        <f t="shared" si="1"/>
        <v>0</v>
      </c>
    </row>
    <row r="52" spans="1:8" ht="30" customHeight="1" x14ac:dyDescent="0.3">
      <c r="A52" s="82"/>
      <c r="B52" s="82"/>
      <c r="C52" s="82"/>
      <c r="D52" s="82"/>
      <c r="E52" s="82"/>
      <c r="F52" s="82"/>
      <c r="G52" s="82"/>
      <c r="H52" s="124">
        <f t="shared" si="1"/>
        <v>0</v>
      </c>
    </row>
    <row r="53" spans="1:8" ht="30" customHeight="1" x14ac:dyDescent="0.3">
      <c r="A53" s="82"/>
      <c r="B53" s="82"/>
      <c r="C53" s="82"/>
      <c r="D53" s="82"/>
      <c r="E53" s="82"/>
      <c r="F53" s="82"/>
      <c r="G53" s="82"/>
      <c r="H53" s="124">
        <f t="shared" si="1"/>
        <v>0</v>
      </c>
    </row>
    <row r="54" spans="1:8" ht="30" customHeight="1" x14ac:dyDescent="0.3">
      <c r="A54" s="82"/>
      <c r="B54" s="82"/>
      <c r="C54" s="82"/>
      <c r="D54" s="82"/>
      <c r="E54" s="82"/>
      <c r="F54" s="82"/>
      <c r="G54" s="82"/>
      <c r="H54" s="124">
        <f t="shared" si="1"/>
        <v>0</v>
      </c>
    </row>
    <row r="55" spans="1:8" ht="30" customHeight="1" x14ac:dyDescent="0.3">
      <c r="A55" s="82"/>
      <c r="B55" s="82"/>
      <c r="C55" s="82"/>
      <c r="D55" s="82"/>
      <c r="E55" s="82"/>
      <c r="F55" s="82"/>
      <c r="G55" s="82"/>
      <c r="H55" s="124">
        <f t="shared" si="1"/>
        <v>0</v>
      </c>
    </row>
    <row r="56" spans="1:8" ht="30" customHeight="1" x14ac:dyDescent="0.3">
      <c r="A56" s="82"/>
      <c r="B56" s="82"/>
      <c r="C56" s="82"/>
      <c r="D56" s="82"/>
      <c r="E56" s="82"/>
      <c r="F56" s="82"/>
      <c r="G56" s="82"/>
      <c r="H56" s="124">
        <f t="shared" si="1"/>
        <v>0</v>
      </c>
    </row>
    <row r="57" spans="1:8" ht="30" customHeight="1" x14ac:dyDescent="0.3">
      <c r="A57" s="82"/>
      <c r="B57" s="82"/>
      <c r="C57" s="82"/>
      <c r="D57" s="82"/>
      <c r="E57" s="82"/>
      <c r="F57" s="82"/>
      <c r="G57" s="82"/>
      <c r="H57" s="124">
        <f t="shared" si="1"/>
        <v>0</v>
      </c>
    </row>
    <row r="58" spans="1:8" ht="30" customHeight="1" x14ac:dyDescent="0.3">
      <c r="A58" s="82"/>
      <c r="B58" s="82"/>
      <c r="C58" s="82"/>
      <c r="D58" s="82"/>
      <c r="E58" s="82"/>
      <c r="F58" s="82"/>
      <c r="G58" s="82"/>
      <c r="H58" s="124">
        <f t="shared" si="1"/>
        <v>0</v>
      </c>
    </row>
    <row r="59" spans="1:8" ht="30" customHeight="1" x14ac:dyDescent="0.3">
      <c r="A59" s="82"/>
      <c r="B59" s="82"/>
      <c r="C59" s="82"/>
      <c r="D59" s="82"/>
      <c r="E59" s="82"/>
      <c r="F59" s="82"/>
      <c r="G59" s="82"/>
      <c r="H59" s="124">
        <f t="shared" si="1"/>
        <v>0</v>
      </c>
    </row>
    <row r="60" spans="1:8" ht="30" customHeight="1" x14ac:dyDescent="0.3">
      <c r="A60" s="82"/>
      <c r="B60" s="82"/>
      <c r="C60" s="82"/>
      <c r="D60" s="82"/>
      <c r="E60" s="82"/>
      <c r="F60" s="82"/>
      <c r="G60" s="82"/>
      <c r="H60" s="124">
        <f t="shared" si="1"/>
        <v>0</v>
      </c>
    </row>
    <row r="61" spans="1:8" ht="30" customHeight="1" x14ac:dyDescent="0.3">
      <c r="A61" s="82"/>
      <c r="B61" s="82"/>
      <c r="C61" s="82"/>
      <c r="D61" s="82"/>
      <c r="E61" s="82"/>
      <c r="F61" s="82"/>
      <c r="G61" s="82"/>
      <c r="H61" s="124">
        <f t="shared" si="1"/>
        <v>0</v>
      </c>
    </row>
    <row r="62" spans="1:8" ht="30" customHeight="1" x14ac:dyDescent="0.3">
      <c r="A62" s="82"/>
      <c r="B62" s="82"/>
      <c r="C62" s="82"/>
      <c r="D62" s="82"/>
      <c r="E62" s="82"/>
      <c r="F62" s="82"/>
      <c r="G62" s="82"/>
      <c r="H62" s="124">
        <f t="shared" si="1"/>
        <v>0</v>
      </c>
    </row>
    <row r="63" spans="1:8" ht="30" customHeight="1" x14ac:dyDescent="0.3">
      <c r="A63" s="82"/>
      <c r="B63" s="82"/>
      <c r="C63" s="82"/>
      <c r="D63" s="82"/>
      <c r="E63" s="82"/>
      <c r="F63" s="82"/>
      <c r="G63" s="82"/>
      <c r="H63" s="124">
        <f t="shared" si="1"/>
        <v>0</v>
      </c>
    </row>
    <row r="64" spans="1:8" ht="30" customHeight="1" x14ac:dyDescent="0.3">
      <c r="A64" s="82"/>
      <c r="B64" s="82"/>
      <c r="C64" s="82"/>
      <c r="D64" s="82"/>
      <c r="E64" s="82"/>
      <c r="F64" s="82"/>
      <c r="G64" s="82"/>
      <c r="H64" s="124">
        <f t="shared" si="1"/>
        <v>0</v>
      </c>
    </row>
    <row r="65" spans="1:8" ht="30" customHeight="1" x14ac:dyDescent="0.3">
      <c r="A65" s="82"/>
      <c r="B65" s="82"/>
      <c r="C65" s="82"/>
      <c r="D65" s="82"/>
      <c r="E65" s="82"/>
      <c r="F65" s="82"/>
      <c r="G65" s="82"/>
      <c r="H65" s="124">
        <f t="shared" si="1"/>
        <v>0</v>
      </c>
    </row>
    <row r="66" spans="1:8" ht="30" customHeight="1" x14ac:dyDescent="0.3">
      <c r="A66" s="82"/>
      <c r="B66" s="82"/>
      <c r="C66" s="82"/>
      <c r="D66" s="82"/>
      <c r="E66" s="82"/>
      <c r="F66" s="82"/>
      <c r="G66" s="82"/>
      <c r="H66" s="124">
        <f t="shared" ref="H66:H97" si="2">MAX(C66:G66)</f>
        <v>0</v>
      </c>
    </row>
    <row r="67" spans="1:8" ht="30" customHeight="1" x14ac:dyDescent="0.3">
      <c r="A67" s="82"/>
      <c r="B67" s="82"/>
      <c r="C67" s="82"/>
      <c r="D67" s="82"/>
      <c r="E67" s="82"/>
      <c r="F67" s="82"/>
      <c r="G67" s="82"/>
      <c r="H67" s="124">
        <f t="shared" si="2"/>
        <v>0</v>
      </c>
    </row>
    <row r="68" spans="1:8" ht="30" customHeight="1" x14ac:dyDescent="0.3">
      <c r="A68" s="82"/>
      <c r="B68" s="82"/>
      <c r="C68" s="82"/>
      <c r="D68" s="82"/>
      <c r="E68" s="82"/>
      <c r="F68" s="82"/>
      <c r="G68" s="82"/>
      <c r="H68" s="124">
        <f t="shared" si="2"/>
        <v>0</v>
      </c>
    </row>
    <row r="69" spans="1:8" ht="30" customHeight="1" x14ac:dyDescent="0.3">
      <c r="A69" s="82"/>
      <c r="B69" s="82"/>
      <c r="C69" s="82"/>
      <c r="D69" s="82"/>
      <c r="E69" s="82"/>
      <c r="F69" s="82"/>
      <c r="G69" s="82"/>
      <c r="H69" s="124">
        <f t="shared" si="2"/>
        <v>0</v>
      </c>
    </row>
    <row r="70" spans="1:8" ht="30" customHeight="1" x14ac:dyDescent="0.3">
      <c r="A70" s="82"/>
      <c r="B70" s="82"/>
      <c r="C70" s="82"/>
      <c r="D70" s="82"/>
      <c r="E70" s="82"/>
      <c r="F70" s="82"/>
      <c r="G70" s="82"/>
      <c r="H70" s="124">
        <f t="shared" si="2"/>
        <v>0</v>
      </c>
    </row>
    <row r="71" spans="1:8" ht="30" customHeight="1" x14ac:dyDescent="0.3">
      <c r="A71" s="82"/>
      <c r="B71" s="82"/>
      <c r="C71" s="82"/>
      <c r="D71" s="82"/>
      <c r="E71" s="82"/>
      <c r="F71" s="82"/>
      <c r="G71" s="82"/>
      <c r="H71" s="124">
        <f t="shared" si="2"/>
        <v>0</v>
      </c>
    </row>
    <row r="72" spans="1:8" ht="30" customHeight="1" x14ac:dyDescent="0.3">
      <c r="A72" s="82"/>
      <c r="B72" s="82"/>
      <c r="C72" s="82"/>
      <c r="D72" s="82"/>
      <c r="E72" s="82"/>
      <c r="F72" s="82"/>
      <c r="G72" s="82"/>
      <c r="H72" s="124">
        <f t="shared" si="2"/>
        <v>0</v>
      </c>
    </row>
    <row r="73" spans="1:8" ht="30" customHeight="1" x14ac:dyDescent="0.3">
      <c r="A73" s="82"/>
      <c r="B73" s="82"/>
      <c r="C73" s="82"/>
      <c r="D73" s="82"/>
      <c r="E73" s="82"/>
      <c r="F73" s="82"/>
      <c r="G73" s="82"/>
      <c r="H73" s="124">
        <f t="shared" si="2"/>
        <v>0</v>
      </c>
    </row>
    <row r="74" spans="1:8" ht="30" customHeight="1" x14ac:dyDescent="0.3">
      <c r="A74" s="82"/>
      <c r="B74" s="82"/>
      <c r="C74" s="82"/>
      <c r="D74" s="82"/>
      <c r="E74" s="82"/>
      <c r="F74" s="82"/>
      <c r="G74" s="82"/>
      <c r="H74" s="124">
        <f t="shared" si="2"/>
        <v>0</v>
      </c>
    </row>
    <row r="75" spans="1:8" ht="30" customHeight="1" x14ac:dyDescent="0.3">
      <c r="A75" s="82"/>
      <c r="B75" s="82"/>
      <c r="C75" s="82"/>
      <c r="D75" s="82"/>
      <c r="E75" s="82"/>
      <c r="F75" s="82"/>
      <c r="G75" s="82"/>
      <c r="H75" s="124">
        <f t="shared" si="2"/>
        <v>0</v>
      </c>
    </row>
    <row r="76" spans="1:8" ht="30" customHeight="1" x14ac:dyDescent="0.3">
      <c r="A76" s="82"/>
      <c r="B76" s="82"/>
      <c r="C76" s="82"/>
      <c r="D76" s="82"/>
      <c r="E76" s="82"/>
      <c r="F76" s="82"/>
      <c r="G76" s="82"/>
      <c r="H76" s="124">
        <f t="shared" si="2"/>
        <v>0</v>
      </c>
    </row>
    <row r="77" spans="1:8" ht="30" customHeight="1" x14ac:dyDescent="0.3">
      <c r="A77" s="82"/>
      <c r="B77" s="82"/>
      <c r="C77" s="82"/>
      <c r="D77" s="82"/>
      <c r="E77" s="82"/>
      <c r="F77" s="82"/>
      <c r="G77" s="82"/>
      <c r="H77" s="124">
        <f t="shared" si="2"/>
        <v>0</v>
      </c>
    </row>
    <row r="78" spans="1:8" ht="30" customHeight="1" x14ac:dyDescent="0.3">
      <c r="A78" s="82"/>
      <c r="B78" s="82"/>
      <c r="C78" s="82"/>
      <c r="D78" s="82"/>
      <c r="E78" s="82"/>
      <c r="F78" s="82"/>
      <c r="G78" s="82"/>
      <c r="H78" s="124">
        <f t="shared" si="2"/>
        <v>0</v>
      </c>
    </row>
    <row r="79" spans="1:8" ht="30" customHeight="1" x14ac:dyDescent="0.3">
      <c r="A79" s="82"/>
      <c r="B79" s="82"/>
      <c r="C79" s="82"/>
      <c r="D79" s="82"/>
      <c r="E79" s="82"/>
      <c r="F79" s="82"/>
      <c r="G79" s="82"/>
      <c r="H79" s="124">
        <f t="shared" si="2"/>
        <v>0</v>
      </c>
    </row>
    <row r="80" spans="1:8" ht="30" customHeight="1" x14ac:dyDescent="0.3">
      <c r="A80" s="82"/>
      <c r="B80" s="82"/>
      <c r="C80" s="82"/>
      <c r="D80" s="82"/>
      <c r="E80" s="82"/>
      <c r="F80" s="82"/>
      <c r="G80" s="82"/>
      <c r="H80" s="124">
        <f t="shared" si="2"/>
        <v>0</v>
      </c>
    </row>
    <row r="81" spans="1:8" ht="30" customHeight="1" x14ac:dyDescent="0.3">
      <c r="A81" s="82"/>
      <c r="B81" s="82"/>
      <c r="C81" s="82"/>
      <c r="D81" s="82"/>
      <c r="E81" s="82"/>
      <c r="F81" s="82"/>
      <c r="G81" s="82"/>
      <c r="H81" s="124">
        <f t="shared" si="2"/>
        <v>0</v>
      </c>
    </row>
    <row r="82" spans="1:8" ht="30" customHeight="1" x14ac:dyDescent="0.3">
      <c r="A82" s="82"/>
      <c r="B82" s="82"/>
      <c r="C82" s="82"/>
      <c r="D82" s="82"/>
      <c r="E82" s="82"/>
      <c r="F82" s="82"/>
      <c r="G82" s="82"/>
      <c r="H82" s="124">
        <f t="shared" si="2"/>
        <v>0</v>
      </c>
    </row>
    <row r="83" spans="1:8" ht="30" customHeight="1" x14ac:dyDescent="0.3">
      <c r="A83" s="82"/>
      <c r="B83" s="82"/>
      <c r="C83" s="82"/>
      <c r="D83" s="82"/>
      <c r="E83" s="82"/>
      <c r="F83" s="82"/>
      <c r="G83" s="82"/>
      <c r="H83" s="124">
        <f t="shared" si="2"/>
        <v>0</v>
      </c>
    </row>
    <row r="84" spans="1:8" ht="30" customHeight="1" x14ac:dyDescent="0.3">
      <c r="A84" s="82"/>
      <c r="B84" s="82"/>
      <c r="C84" s="82"/>
      <c r="D84" s="82"/>
      <c r="E84" s="82"/>
      <c r="F84" s="82"/>
      <c r="G84" s="82"/>
      <c r="H84" s="124">
        <f t="shared" si="2"/>
        <v>0</v>
      </c>
    </row>
    <row r="85" spans="1:8" ht="30" customHeight="1" x14ac:dyDescent="0.3">
      <c r="A85" s="82"/>
      <c r="B85" s="82"/>
      <c r="C85" s="82"/>
      <c r="D85" s="82"/>
      <c r="E85" s="82"/>
      <c r="F85" s="82"/>
      <c r="G85" s="82"/>
      <c r="H85" s="124">
        <f t="shared" si="2"/>
        <v>0</v>
      </c>
    </row>
    <row r="86" spans="1:8" ht="30" customHeight="1" x14ac:dyDescent="0.3">
      <c r="A86" s="82"/>
      <c r="B86" s="82"/>
      <c r="C86" s="82"/>
      <c r="D86" s="82"/>
      <c r="E86" s="82"/>
      <c r="F86" s="82"/>
      <c r="G86" s="82"/>
      <c r="H86" s="124">
        <f t="shared" si="2"/>
        <v>0</v>
      </c>
    </row>
    <row r="87" spans="1:8" ht="30" customHeight="1" x14ac:dyDescent="0.3">
      <c r="A87" s="82"/>
      <c r="B87" s="82"/>
      <c r="C87" s="82"/>
      <c r="D87" s="82"/>
      <c r="E87" s="82"/>
      <c r="F87" s="82"/>
      <c r="G87" s="82"/>
      <c r="H87" s="124">
        <f t="shared" si="2"/>
        <v>0</v>
      </c>
    </row>
    <row r="88" spans="1:8" ht="30" customHeight="1" x14ac:dyDescent="0.3">
      <c r="A88" s="82"/>
      <c r="B88" s="82"/>
      <c r="C88" s="82"/>
      <c r="D88" s="82"/>
      <c r="E88" s="82"/>
      <c r="F88" s="82"/>
      <c r="G88" s="82"/>
      <c r="H88" s="124">
        <f t="shared" si="2"/>
        <v>0</v>
      </c>
    </row>
    <row r="89" spans="1:8" ht="30" customHeight="1" x14ac:dyDescent="0.3">
      <c r="A89" s="82"/>
      <c r="B89" s="82"/>
      <c r="C89" s="82"/>
      <c r="D89" s="82"/>
      <c r="E89" s="82"/>
      <c r="F89" s="82"/>
      <c r="G89" s="82"/>
      <c r="H89" s="124">
        <f t="shared" si="2"/>
        <v>0</v>
      </c>
    </row>
    <row r="90" spans="1:8" ht="30" customHeight="1" x14ac:dyDescent="0.3">
      <c r="A90" s="82"/>
      <c r="B90" s="82"/>
      <c r="C90" s="82"/>
      <c r="D90" s="82"/>
      <c r="E90" s="82"/>
      <c r="F90" s="82"/>
      <c r="G90" s="82"/>
      <c r="H90" s="124">
        <f t="shared" si="2"/>
        <v>0</v>
      </c>
    </row>
    <row r="91" spans="1:8" ht="30" customHeight="1" x14ac:dyDescent="0.3">
      <c r="A91" s="82"/>
      <c r="B91" s="82"/>
      <c r="C91" s="82"/>
      <c r="D91" s="82"/>
      <c r="E91" s="82"/>
      <c r="F91" s="82"/>
      <c r="G91" s="82"/>
      <c r="H91" s="124">
        <f t="shared" si="2"/>
        <v>0</v>
      </c>
    </row>
    <row r="92" spans="1:8" ht="30" customHeight="1" x14ac:dyDescent="0.3">
      <c r="A92" s="82"/>
      <c r="B92" s="82"/>
      <c r="C92" s="82"/>
      <c r="D92" s="82"/>
      <c r="E92" s="82"/>
      <c r="F92" s="82"/>
      <c r="G92" s="82"/>
      <c r="H92" s="124">
        <f t="shared" si="2"/>
        <v>0</v>
      </c>
    </row>
    <row r="93" spans="1:8" ht="30" customHeight="1" x14ac:dyDescent="0.3">
      <c r="A93" s="82"/>
      <c r="B93" s="82"/>
      <c r="C93" s="82"/>
      <c r="D93" s="82"/>
      <c r="E93" s="82"/>
      <c r="F93" s="82"/>
      <c r="G93" s="82"/>
      <c r="H93" s="124">
        <f t="shared" si="2"/>
        <v>0</v>
      </c>
    </row>
    <row r="94" spans="1:8" ht="30" customHeight="1" x14ac:dyDescent="0.3">
      <c r="A94" s="82"/>
      <c r="B94" s="82"/>
      <c r="C94" s="82"/>
      <c r="D94" s="82"/>
      <c r="E94" s="82"/>
      <c r="F94" s="82"/>
      <c r="G94" s="82"/>
      <c r="H94" s="124">
        <f t="shared" si="2"/>
        <v>0</v>
      </c>
    </row>
    <row r="95" spans="1:8" ht="30" customHeight="1" x14ac:dyDescent="0.3">
      <c r="A95" s="82"/>
      <c r="B95" s="82"/>
      <c r="C95" s="82"/>
      <c r="D95" s="82"/>
      <c r="E95" s="82"/>
      <c r="F95" s="82"/>
      <c r="G95" s="82"/>
      <c r="H95" s="124">
        <f t="shared" si="2"/>
        <v>0</v>
      </c>
    </row>
    <row r="96" spans="1:8" ht="30" customHeight="1" x14ac:dyDescent="0.3">
      <c r="A96" s="82"/>
      <c r="B96" s="82"/>
      <c r="C96" s="82"/>
      <c r="D96" s="82"/>
      <c r="E96" s="82"/>
      <c r="F96" s="82"/>
      <c r="G96" s="82"/>
      <c r="H96" s="124">
        <f t="shared" si="2"/>
        <v>0</v>
      </c>
    </row>
    <row r="97" spans="1:8" ht="30" customHeight="1" x14ac:dyDescent="0.3">
      <c r="A97" s="82"/>
      <c r="B97" s="82"/>
      <c r="C97" s="82"/>
      <c r="D97" s="82"/>
      <c r="E97" s="82"/>
      <c r="F97" s="82"/>
      <c r="G97" s="82"/>
      <c r="H97" s="124">
        <f t="shared" si="2"/>
        <v>0</v>
      </c>
    </row>
    <row r="98" spans="1:8" ht="30" customHeight="1" x14ac:dyDescent="0.3">
      <c r="A98" s="82"/>
      <c r="B98" s="82"/>
      <c r="C98" s="82"/>
      <c r="D98" s="82"/>
      <c r="E98" s="82"/>
      <c r="F98" s="82"/>
      <c r="G98" s="82"/>
      <c r="H98" s="124">
        <f t="shared" ref="H98:H109" si="3">MAX(C98:G98)</f>
        <v>0</v>
      </c>
    </row>
    <row r="99" spans="1:8" ht="30" customHeight="1" x14ac:dyDescent="0.3">
      <c r="A99" s="82"/>
      <c r="B99" s="82"/>
      <c r="C99" s="82"/>
      <c r="D99" s="82"/>
      <c r="E99" s="82"/>
      <c r="F99" s="82"/>
      <c r="G99" s="82"/>
      <c r="H99" s="124">
        <f t="shared" si="3"/>
        <v>0</v>
      </c>
    </row>
    <row r="100" spans="1:8" ht="30" customHeight="1" x14ac:dyDescent="0.3">
      <c r="A100" s="82"/>
      <c r="B100" s="82"/>
      <c r="C100" s="82"/>
      <c r="D100" s="82"/>
      <c r="E100" s="82"/>
      <c r="F100" s="82"/>
      <c r="G100" s="82"/>
      <c r="H100" s="124">
        <f t="shared" si="3"/>
        <v>0</v>
      </c>
    </row>
    <row r="101" spans="1:8" ht="30" customHeight="1" x14ac:dyDescent="0.3">
      <c r="A101" s="82"/>
      <c r="B101" s="82"/>
      <c r="C101" s="82"/>
      <c r="D101" s="82"/>
      <c r="E101" s="82"/>
      <c r="F101" s="82"/>
      <c r="G101" s="82"/>
      <c r="H101" s="124">
        <f t="shared" si="3"/>
        <v>0</v>
      </c>
    </row>
    <row r="102" spans="1:8" ht="30" customHeight="1" x14ac:dyDescent="0.3">
      <c r="A102" s="82"/>
      <c r="B102" s="82"/>
      <c r="C102" s="82"/>
      <c r="D102" s="82"/>
      <c r="E102" s="82"/>
      <c r="F102" s="82"/>
      <c r="G102" s="82"/>
      <c r="H102" s="124">
        <f t="shared" si="3"/>
        <v>0</v>
      </c>
    </row>
    <row r="103" spans="1:8" ht="30" customHeight="1" x14ac:dyDescent="0.3">
      <c r="A103" s="82"/>
      <c r="B103" s="82"/>
      <c r="C103" s="82"/>
      <c r="D103" s="82"/>
      <c r="E103" s="82"/>
      <c r="F103" s="82"/>
      <c r="G103" s="82"/>
      <c r="H103" s="124">
        <f t="shared" si="3"/>
        <v>0</v>
      </c>
    </row>
    <row r="104" spans="1:8" ht="30" customHeight="1" x14ac:dyDescent="0.3">
      <c r="A104" s="82"/>
      <c r="B104" s="82"/>
      <c r="C104" s="82"/>
      <c r="D104" s="82"/>
      <c r="E104" s="82"/>
      <c r="F104" s="82"/>
      <c r="G104" s="82"/>
      <c r="H104" s="124">
        <f t="shared" si="3"/>
        <v>0</v>
      </c>
    </row>
    <row r="105" spans="1:8" ht="30" customHeight="1" x14ac:dyDescent="0.3">
      <c r="A105" s="82"/>
      <c r="B105" s="82"/>
      <c r="C105" s="82"/>
      <c r="D105" s="82"/>
      <c r="E105" s="82"/>
      <c r="F105" s="82"/>
      <c r="G105" s="82"/>
      <c r="H105" s="124">
        <f t="shared" si="3"/>
        <v>0</v>
      </c>
    </row>
    <row r="106" spans="1:8" ht="30" customHeight="1" x14ac:dyDescent="0.3">
      <c r="A106" s="82"/>
      <c r="B106" s="82"/>
      <c r="C106" s="82"/>
      <c r="D106" s="82"/>
      <c r="E106" s="82"/>
      <c r="F106" s="82"/>
      <c r="G106" s="82"/>
      <c r="H106" s="124">
        <f t="shared" si="3"/>
        <v>0</v>
      </c>
    </row>
    <row r="107" spans="1:8" ht="30" customHeight="1" x14ac:dyDescent="0.3">
      <c r="A107" s="82"/>
      <c r="B107" s="82"/>
      <c r="C107" s="82"/>
      <c r="D107" s="82"/>
      <c r="E107" s="82"/>
      <c r="F107" s="82"/>
      <c r="G107" s="82"/>
      <c r="H107" s="124">
        <f t="shared" si="3"/>
        <v>0</v>
      </c>
    </row>
    <row r="108" spans="1:8" ht="30" customHeight="1" x14ac:dyDescent="0.3">
      <c r="A108" s="82"/>
      <c r="B108" s="82"/>
      <c r="C108" s="82"/>
      <c r="D108" s="82"/>
      <c r="E108" s="82"/>
      <c r="F108" s="82"/>
      <c r="G108" s="82"/>
      <c r="H108" s="124">
        <f t="shared" si="3"/>
        <v>0</v>
      </c>
    </row>
    <row r="109" spans="1:8" ht="30" customHeight="1" x14ac:dyDescent="0.3">
      <c r="A109" s="82"/>
      <c r="B109" s="82"/>
      <c r="C109" s="82"/>
      <c r="D109" s="82"/>
      <c r="E109" s="82"/>
      <c r="F109" s="82"/>
      <c r="G109" s="82"/>
      <c r="H109" s="124">
        <f t="shared" si="3"/>
        <v>0</v>
      </c>
    </row>
  </sheetData>
  <conditionalFormatting sqref="A2:A109 E2:E109 C2:C109 G2:H109">
    <cfRule type="expression" dxfId="83" priority="4">
      <formula>MOD(ROW(),2)</formula>
    </cfRule>
  </conditionalFormatting>
  <conditionalFormatting sqref="A2:A109 E2:E109 C2:C109 G2:H109">
    <cfRule type="expression" dxfId="82" priority="3">
      <formula>ROW()-NumberOfTeams=1</formula>
    </cfRule>
  </conditionalFormatting>
  <conditionalFormatting sqref="B2:B109 D2:D109 F2:F109">
    <cfRule type="expression" dxfId="81" priority="2">
      <formula>MOD(ROW(),2)</formula>
    </cfRule>
  </conditionalFormatting>
  <conditionalFormatting sqref="B2:B109 D2:D109 F2:F109">
    <cfRule type="expression" dxfId="80" priority="1">
      <formula>ROW()-NumberOfTeams=1</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pageSetUpPr fitToPage="1"/>
  </sheetPr>
  <dimension ref="A1:AD109"/>
  <sheetViews>
    <sheetView showZeros="0" zoomScaleNormal="100" zoomScalePageLayoutView="140" workbookViewId="0">
      <selection activeCell="H3" sqref="H2:H1048576"/>
    </sheetView>
  </sheetViews>
  <sheetFormatPr defaultColWidth="8.44140625" defaultRowHeight="30" customHeight="1" x14ac:dyDescent="0.3"/>
  <cols>
    <col min="1" max="1" width="15.44140625" customWidth="1"/>
    <col min="2" max="2" width="32.44140625" customWidth="1"/>
    <col min="3" max="12" width="5.88671875" style="119" customWidth="1"/>
    <col min="13" max="15" width="7.44140625" customWidth="1"/>
    <col min="16" max="19" width="7.44140625" hidden="1" customWidth="1"/>
    <col min="20" max="20" width="7.44140625" customWidth="1"/>
    <col min="21" max="21" width="10.44140625" customWidth="1"/>
    <col min="22" max="22" width="15.44140625" customWidth="1"/>
    <col min="23" max="25" width="10.44140625" customWidth="1"/>
    <col min="26" max="26" width="8.44140625" style="84"/>
    <col min="29" max="31" width="0" hidden="1" customWidth="1"/>
  </cols>
  <sheetData>
    <row r="1" spans="1:30" ht="170.25" customHeight="1" x14ac:dyDescent="0.3">
      <c r="A1" s="52" t="s">
        <v>9</v>
      </c>
      <c r="B1" s="53" t="s">
        <v>10</v>
      </c>
      <c r="C1" s="126" t="s">
        <v>88</v>
      </c>
      <c r="D1" s="126" t="s">
        <v>89</v>
      </c>
      <c r="E1" s="126" t="s">
        <v>90</v>
      </c>
      <c r="F1" s="126" t="s">
        <v>91</v>
      </c>
      <c r="G1" s="126" t="s">
        <v>92</v>
      </c>
      <c r="H1" s="126" t="s">
        <v>93</v>
      </c>
      <c r="I1" s="126" t="s">
        <v>94</v>
      </c>
      <c r="J1" s="126" t="s">
        <v>95</v>
      </c>
      <c r="K1" s="126" t="s">
        <v>96</v>
      </c>
      <c r="L1" s="126" t="s">
        <v>97</v>
      </c>
      <c r="M1" s="54" t="s">
        <v>66</v>
      </c>
      <c r="N1" s="54" t="s">
        <v>67</v>
      </c>
      <c r="O1" s="54" t="s">
        <v>68</v>
      </c>
      <c r="P1" s="54" t="s">
        <v>69</v>
      </c>
      <c r="Q1" s="54" t="s">
        <v>70</v>
      </c>
      <c r="R1" s="110" t="s">
        <v>71</v>
      </c>
      <c r="S1" s="110" t="s">
        <v>72</v>
      </c>
      <c r="T1" s="125" t="s">
        <v>73</v>
      </c>
      <c r="U1" s="55" t="s">
        <v>41</v>
      </c>
      <c r="V1" s="55" t="s">
        <v>30</v>
      </c>
      <c r="W1" s="127" t="s">
        <v>74</v>
      </c>
      <c r="X1" s="127" t="s">
        <v>75</v>
      </c>
      <c r="Y1" s="127" t="s">
        <v>76</v>
      </c>
      <c r="AD1" s="74"/>
    </row>
    <row r="2" spans="1:30" ht="30" customHeight="1" x14ac:dyDescent="0.3">
      <c r="A2" s="115"/>
      <c r="B2" s="116" t="str">
        <f>IF(ISNA(INDEX(OfficialTeamList[Team Name],MATCH(CoreValuesResults[[#This Row],[Team Number]], OfficialTeamList[Team Number],0))),"",INDEX(OfficialTeamList[Team Name],MATCH(CoreValuesResults[[#This Row],[Team Number]], OfficialTeamList[Team Number],0)))</f>
        <v/>
      </c>
      <c r="C2" s="120">
        <f>'Innovation Project Input'!D2</f>
        <v>0</v>
      </c>
      <c r="D2" s="118">
        <f>InnovationProjectResults[[#This Row],[Design - Teamwork (CV)]]</f>
        <v>0</v>
      </c>
      <c r="E2" s="118">
        <f>InnovationProjectResults[[#This Row],[Create - Innovation (CV)]]</f>
        <v>0</v>
      </c>
      <c r="F2" s="118">
        <f>InnovationProjectResults[[#This Row],[Communicate - Impact (CV)]]</f>
        <v>0</v>
      </c>
      <c r="G2" s="118">
        <f>InnovationProjectResults[[#This Row],[Communicate - Fun (CV)]]</f>
        <v>0</v>
      </c>
      <c r="H2" s="118">
        <f>'Robot Design Input'!D2</f>
        <v>0</v>
      </c>
      <c r="I2" s="118">
        <f>'Robot Design Input'!E2</f>
        <v>0</v>
      </c>
      <c r="J2" s="118">
        <f>RobotDesignResults[[#This Row],[Iterate - Improvements (CV)]]</f>
        <v>0</v>
      </c>
      <c r="K2" s="118">
        <f>RobotDesignResults[[#This Row],[Communicate - Impact (CV)]]</f>
        <v>0</v>
      </c>
      <c r="L2" s="118">
        <f>RobotDesignResults[[#This Row],[Communicate - Fun (CV)]]</f>
        <v>0</v>
      </c>
      <c r="M2" s="115"/>
      <c r="N2" s="115"/>
      <c r="O2" s="115"/>
      <c r="P2" s="115"/>
      <c r="Q2" s="115"/>
      <c r="R2" s="115" t="str">
        <f>IF(CoreValuesResults[[#This Row],[Gracious Professionalism 1]]="","",COUNTIF(CoreValuesResults[[#This Row],[Gracious Professionalism 1]:[Gracious Professionalism 5]],""))</f>
        <v/>
      </c>
      <c r="S2" s="115" t="str">
        <f>IF(CoreValuesResults[[#This Row],[Gracious Professionalism 1]]="","",SUM(CoreValuesResults[[#This Row],[Gracious Professionalism 1]:[Gracious Professionalism 5]]))</f>
        <v/>
      </c>
      <c r="T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 s="111">
        <f>SUM(CoreValuesResults[[#This Row],[Discovery (IP)]:[Fun (RD)]],CoreValuesResults[[#This Row],[Gracious Professionalism Score]])</f>
        <v>0</v>
      </c>
      <c r="V2" s="56">
        <f>IF(CoreValuesResults[[#This Row],[Team Number]]&gt;0,MIN(_xlfn.RANK.EQ(CoreValuesResults[[#This Row],[Core Values Score]],CoreValuesResults[Core Values Score],0),NumberOfTeams),NumberOfTeams+1)</f>
        <v>1</v>
      </c>
      <c r="W2" s="57"/>
      <c r="X2" s="57"/>
      <c r="Y2" s="57"/>
      <c r="AD2" s="74" t="b">
        <v>1</v>
      </c>
    </row>
    <row r="3" spans="1:30" ht="30" customHeight="1" x14ac:dyDescent="0.3">
      <c r="A3" s="115"/>
      <c r="B3" s="116" t="str">
        <f>IF(ISNA(INDEX(OfficialTeamList[Team Name],MATCH(CoreValuesResults[[#This Row],[Team Number]], OfficialTeamList[Team Number],0))),"",INDEX(OfficialTeamList[Team Name],MATCH(CoreValuesResults[[#This Row],[Team Number]], OfficialTeamList[Team Number],0)))</f>
        <v/>
      </c>
      <c r="C3" s="118">
        <f>'Innovation Project Input'!D3</f>
        <v>0</v>
      </c>
      <c r="D3" s="118">
        <f>InnovationProjectResults[[#This Row],[Design - Teamwork (CV)]]</f>
        <v>0</v>
      </c>
      <c r="E3" s="118">
        <f>InnovationProjectResults[[#This Row],[Create - Innovation (CV)]]</f>
        <v>0</v>
      </c>
      <c r="F3" s="118">
        <f>InnovationProjectResults[[#This Row],[Communicate - Impact (CV)]]</f>
        <v>0</v>
      </c>
      <c r="G3" s="118">
        <f>InnovationProjectResults[[#This Row],[Communicate - Fun (CV)]]</f>
        <v>0</v>
      </c>
      <c r="H3" s="118">
        <f>'Robot Design Input'!D3</f>
        <v>0</v>
      </c>
      <c r="I3" s="118">
        <f>'Robot Design Input'!E3</f>
        <v>0</v>
      </c>
      <c r="J3" s="118">
        <f>RobotDesignResults[[#This Row],[Iterate - Improvements (CV)]]</f>
        <v>0</v>
      </c>
      <c r="K3" s="118">
        <f>RobotDesignResults[[#This Row],[Communicate - Impact (CV)]]</f>
        <v>0</v>
      </c>
      <c r="L3" s="118">
        <f>RobotDesignResults[[#This Row],[Communicate - Fun (CV)]]</f>
        <v>0</v>
      </c>
      <c r="M3" s="115"/>
      <c r="N3" s="115"/>
      <c r="O3" s="115"/>
      <c r="P3" s="115"/>
      <c r="Q3" s="115"/>
      <c r="R3" s="115" t="str">
        <f>IF(CoreValuesResults[[#This Row],[Gracious Professionalism 1]]="","",COUNTIF(CoreValuesResults[[#This Row],[Gracious Professionalism 1]:[Gracious Professionalism 5]],""))</f>
        <v/>
      </c>
      <c r="S3" s="115" t="str">
        <f>IF(CoreValuesResults[[#This Row],[Gracious Professionalism 1]]="","",SUM(CoreValuesResults[[#This Row],[Gracious Professionalism 1]:[Gracious Professionalism 5]]))</f>
        <v/>
      </c>
      <c r="T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 s="111">
        <f>SUM(CoreValuesResults[[#This Row],[Discovery (IP)]:[Fun (RD)]],CoreValuesResults[[#This Row],[Gracious Professionalism Score]])</f>
        <v>0</v>
      </c>
      <c r="V3" s="56">
        <f>IF(CoreValuesResults[[#This Row],[Team Number]]&gt;0,MIN(_xlfn.RANK.EQ(CoreValuesResults[[#This Row],[Core Values Score]],CoreValuesResults[Core Values Score],0),NumberOfTeams),NumberOfTeams+1)</f>
        <v>1</v>
      </c>
      <c r="W3" s="57"/>
      <c r="X3" s="57"/>
      <c r="Y3" s="57"/>
      <c r="AD3" s="74"/>
    </row>
    <row r="4" spans="1:30" ht="30" customHeight="1" x14ac:dyDescent="0.3">
      <c r="A4" s="115"/>
      <c r="B4" s="116" t="str">
        <f>IF(ISNA(INDEX(OfficialTeamList[Team Name],MATCH(CoreValuesResults[[#This Row],[Team Number]], OfficialTeamList[Team Number],0))),"",INDEX(OfficialTeamList[Team Name],MATCH(CoreValuesResults[[#This Row],[Team Number]], OfficialTeamList[Team Number],0)))</f>
        <v/>
      </c>
      <c r="C4" s="118">
        <f>'Innovation Project Input'!D4</f>
        <v>0</v>
      </c>
      <c r="D4" s="118">
        <f>InnovationProjectResults[[#This Row],[Design - Teamwork (CV)]]</f>
        <v>0</v>
      </c>
      <c r="E4" s="118">
        <f>InnovationProjectResults[[#This Row],[Create - Innovation (CV)]]</f>
        <v>0</v>
      </c>
      <c r="F4" s="118">
        <f>InnovationProjectResults[[#This Row],[Communicate - Impact (CV)]]</f>
        <v>0</v>
      </c>
      <c r="G4" s="118">
        <f>InnovationProjectResults[[#This Row],[Communicate - Fun (CV)]]</f>
        <v>0</v>
      </c>
      <c r="H4" s="118">
        <f>'Robot Design Input'!D4</f>
        <v>0</v>
      </c>
      <c r="I4" s="118">
        <f>'Robot Design Input'!E4</f>
        <v>0</v>
      </c>
      <c r="J4" s="118">
        <f>RobotDesignResults[[#This Row],[Iterate - Improvements (CV)]]</f>
        <v>0</v>
      </c>
      <c r="K4" s="118">
        <f>RobotDesignResults[[#This Row],[Communicate - Impact (CV)]]</f>
        <v>0</v>
      </c>
      <c r="L4" s="118">
        <f>RobotDesignResults[[#This Row],[Communicate - Fun (CV)]]</f>
        <v>0</v>
      </c>
      <c r="M4" s="115"/>
      <c r="N4" s="115"/>
      <c r="O4" s="115"/>
      <c r="P4" s="115"/>
      <c r="Q4" s="115"/>
      <c r="R4" s="115" t="str">
        <f>IF(CoreValuesResults[[#This Row],[Gracious Professionalism 1]]="","",COUNTIF(CoreValuesResults[[#This Row],[Gracious Professionalism 1]:[Gracious Professionalism 5]],""))</f>
        <v/>
      </c>
      <c r="S4" s="115" t="str">
        <f>IF(CoreValuesResults[[#This Row],[Gracious Professionalism 1]]="","",SUM(CoreValuesResults[[#This Row],[Gracious Professionalism 1]:[Gracious Professionalism 5]]))</f>
        <v/>
      </c>
      <c r="T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 s="111">
        <f>SUM(CoreValuesResults[[#This Row],[Discovery (IP)]:[Fun (RD)]],CoreValuesResults[[#This Row],[Gracious Professionalism Score]])</f>
        <v>0</v>
      </c>
      <c r="V4" s="56">
        <f>IF(CoreValuesResults[[#This Row],[Team Number]]&gt;0,MIN(_xlfn.RANK.EQ(CoreValuesResults[[#This Row],[Core Values Score]],CoreValuesResults[Core Values Score],0),NumberOfTeams),NumberOfTeams+1)</f>
        <v>1</v>
      </c>
      <c r="W4" s="57"/>
      <c r="X4" s="57"/>
      <c r="Y4" s="57"/>
      <c r="AD4" s="74"/>
    </row>
    <row r="5" spans="1:30" ht="30" customHeight="1" x14ac:dyDescent="0.3">
      <c r="A5" s="115"/>
      <c r="B5" s="116" t="str">
        <f>IF(ISNA(INDEX(OfficialTeamList[Team Name],MATCH(CoreValuesResults[[#This Row],[Team Number]], OfficialTeamList[Team Number],0))),"",INDEX(OfficialTeamList[Team Name],MATCH(CoreValuesResults[[#This Row],[Team Number]], OfficialTeamList[Team Number],0)))</f>
        <v/>
      </c>
      <c r="C5" s="118">
        <f>'Innovation Project Input'!D5</f>
        <v>0</v>
      </c>
      <c r="D5" s="118">
        <f>InnovationProjectResults[[#This Row],[Design - Teamwork (CV)]]</f>
        <v>0</v>
      </c>
      <c r="E5" s="118">
        <f>InnovationProjectResults[[#This Row],[Create - Innovation (CV)]]</f>
        <v>0</v>
      </c>
      <c r="F5" s="118">
        <f>InnovationProjectResults[[#This Row],[Communicate - Impact (CV)]]</f>
        <v>0</v>
      </c>
      <c r="G5" s="118">
        <f>InnovationProjectResults[[#This Row],[Communicate - Fun (CV)]]</f>
        <v>0</v>
      </c>
      <c r="H5" s="118">
        <f>'Robot Design Input'!D5</f>
        <v>0</v>
      </c>
      <c r="I5" s="118">
        <f>'Robot Design Input'!E5</f>
        <v>0</v>
      </c>
      <c r="J5" s="118">
        <f>RobotDesignResults[[#This Row],[Iterate - Improvements (CV)]]</f>
        <v>0</v>
      </c>
      <c r="K5" s="118">
        <f>RobotDesignResults[[#This Row],[Communicate - Impact (CV)]]</f>
        <v>0</v>
      </c>
      <c r="L5" s="118">
        <f>RobotDesignResults[[#This Row],[Communicate - Fun (CV)]]</f>
        <v>0</v>
      </c>
      <c r="M5" s="115"/>
      <c r="N5" s="115"/>
      <c r="O5" s="115"/>
      <c r="P5" s="115"/>
      <c r="Q5" s="115"/>
      <c r="R5" s="115" t="str">
        <f>IF(CoreValuesResults[[#This Row],[Gracious Professionalism 1]]="","",COUNTIF(CoreValuesResults[[#This Row],[Gracious Professionalism 1]:[Gracious Professionalism 5]],""))</f>
        <v/>
      </c>
      <c r="S5" s="115" t="str">
        <f>IF(CoreValuesResults[[#This Row],[Gracious Professionalism 1]]="","",SUM(CoreValuesResults[[#This Row],[Gracious Professionalism 1]:[Gracious Professionalism 5]]))</f>
        <v/>
      </c>
      <c r="T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 s="111">
        <f>SUM(CoreValuesResults[[#This Row],[Discovery (IP)]:[Fun (RD)]],CoreValuesResults[[#This Row],[Gracious Professionalism Score]])</f>
        <v>0</v>
      </c>
      <c r="V5" s="56">
        <f>IF(CoreValuesResults[[#This Row],[Team Number]]&gt;0,MIN(_xlfn.RANK.EQ(CoreValuesResults[[#This Row],[Core Values Score]],CoreValuesResults[Core Values Score],0),NumberOfTeams),NumberOfTeams+1)</f>
        <v>1</v>
      </c>
      <c r="W5" s="57"/>
      <c r="X5" s="57"/>
      <c r="Y5" s="57"/>
    </row>
    <row r="6" spans="1:30" ht="30" customHeight="1" x14ac:dyDescent="0.3">
      <c r="A6" s="115"/>
      <c r="B6" s="116" t="str">
        <f>IF(ISNA(INDEX(OfficialTeamList[Team Name],MATCH(CoreValuesResults[[#This Row],[Team Number]], OfficialTeamList[Team Number],0))),"",INDEX(OfficialTeamList[Team Name],MATCH(CoreValuesResults[[#This Row],[Team Number]], OfficialTeamList[Team Number],0)))</f>
        <v/>
      </c>
      <c r="C6" s="118">
        <f>'Innovation Project Input'!D6</f>
        <v>0</v>
      </c>
      <c r="D6" s="118">
        <f>InnovationProjectResults[[#This Row],[Design - Teamwork (CV)]]</f>
        <v>0</v>
      </c>
      <c r="E6" s="118">
        <f>InnovationProjectResults[[#This Row],[Create - Innovation (CV)]]</f>
        <v>0</v>
      </c>
      <c r="F6" s="118">
        <f>InnovationProjectResults[[#This Row],[Communicate - Impact (CV)]]</f>
        <v>0</v>
      </c>
      <c r="G6" s="118">
        <f>InnovationProjectResults[[#This Row],[Communicate - Fun (CV)]]</f>
        <v>0</v>
      </c>
      <c r="H6" s="118">
        <f>'Robot Design Input'!D6</f>
        <v>0</v>
      </c>
      <c r="I6" s="118">
        <f>'Robot Design Input'!E6</f>
        <v>0</v>
      </c>
      <c r="J6" s="118">
        <f>RobotDesignResults[[#This Row],[Iterate - Improvements (CV)]]</f>
        <v>0</v>
      </c>
      <c r="K6" s="118">
        <f>RobotDesignResults[[#This Row],[Communicate - Impact (CV)]]</f>
        <v>0</v>
      </c>
      <c r="L6" s="118">
        <f>RobotDesignResults[[#This Row],[Communicate - Fun (CV)]]</f>
        <v>0</v>
      </c>
      <c r="M6" s="115"/>
      <c r="N6" s="115"/>
      <c r="O6" s="115"/>
      <c r="P6" s="115"/>
      <c r="Q6" s="115"/>
      <c r="R6" s="115" t="str">
        <f>IF(CoreValuesResults[[#This Row],[Gracious Professionalism 1]]="","",COUNTIF(CoreValuesResults[[#This Row],[Gracious Professionalism 1]:[Gracious Professionalism 5]],""))</f>
        <v/>
      </c>
      <c r="S6" s="115" t="str">
        <f>IF(CoreValuesResults[[#This Row],[Gracious Professionalism 1]]="","",SUM(CoreValuesResults[[#This Row],[Gracious Professionalism 1]:[Gracious Professionalism 5]]))</f>
        <v/>
      </c>
      <c r="T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 s="111">
        <f>SUM(CoreValuesResults[[#This Row],[Discovery (IP)]:[Fun (RD)]],CoreValuesResults[[#This Row],[Gracious Professionalism Score]])</f>
        <v>0</v>
      </c>
      <c r="V6" s="56">
        <f>IF(CoreValuesResults[[#This Row],[Team Number]]&gt;0,MIN(_xlfn.RANK.EQ(CoreValuesResults[[#This Row],[Core Values Score]],CoreValuesResults[Core Values Score],0),NumberOfTeams),NumberOfTeams+1)</f>
        <v>1</v>
      </c>
      <c r="W6" s="57"/>
      <c r="X6" s="57"/>
      <c r="Y6" s="57"/>
    </row>
    <row r="7" spans="1:30" ht="30" customHeight="1" x14ac:dyDescent="0.3">
      <c r="A7" s="115"/>
      <c r="B7" s="116" t="str">
        <f>IF(ISNA(INDEX(OfficialTeamList[Team Name],MATCH(CoreValuesResults[[#This Row],[Team Number]], OfficialTeamList[Team Number],0))),"",INDEX(OfficialTeamList[Team Name],MATCH(CoreValuesResults[[#This Row],[Team Number]], OfficialTeamList[Team Number],0)))</f>
        <v/>
      </c>
      <c r="C7" s="118">
        <f>'Innovation Project Input'!D7</f>
        <v>0</v>
      </c>
      <c r="D7" s="118">
        <f>InnovationProjectResults[[#This Row],[Design - Teamwork (CV)]]</f>
        <v>0</v>
      </c>
      <c r="E7" s="118">
        <f>InnovationProjectResults[[#This Row],[Create - Innovation (CV)]]</f>
        <v>0</v>
      </c>
      <c r="F7" s="118">
        <f>InnovationProjectResults[[#This Row],[Communicate - Impact (CV)]]</f>
        <v>0</v>
      </c>
      <c r="G7" s="118">
        <f>InnovationProjectResults[[#This Row],[Communicate - Fun (CV)]]</f>
        <v>0</v>
      </c>
      <c r="H7" s="118">
        <f>'Robot Design Input'!D7</f>
        <v>0</v>
      </c>
      <c r="I7" s="118">
        <f>'Robot Design Input'!E7</f>
        <v>0</v>
      </c>
      <c r="J7" s="118">
        <f>RobotDesignResults[[#This Row],[Iterate - Improvements (CV)]]</f>
        <v>0</v>
      </c>
      <c r="K7" s="118">
        <f>RobotDesignResults[[#This Row],[Communicate - Impact (CV)]]</f>
        <v>0</v>
      </c>
      <c r="L7" s="118">
        <f>RobotDesignResults[[#This Row],[Communicate - Fun (CV)]]</f>
        <v>0</v>
      </c>
      <c r="M7" s="115"/>
      <c r="N7" s="115"/>
      <c r="O7" s="115"/>
      <c r="P7" s="115"/>
      <c r="Q7" s="115"/>
      <c r="R7" s="115" t="str">
        <f>IF(CoreValuesResults[[#This Row],[Gracious Professionalism 1]]="","",COUNTIF(CoreValuesResults[[#This Row],[Gracious Professionalism 1]:[Gracious Professionalism 5]],""))</f>
        <v/>
      </c>
      <c r="S7" s="115" t="str">
        <f>IF(CoreValuesResults[[#This Row],[Gracious Professionalism 1]]="","",SUM(CoreValuesResults[[#This Row],[Gracious Professionalism 1]:[Gracious Professionalism 5]]))</f>
        <v/>
      </c>
      <c r="T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 s="111">
        <f>SUM(CoreValuesResults[[#This Row],[Discovery (IP)]:[Fun (RD)]],CoreValuesResults[[#This Row],[Gracious Professionalism Score]])</f>
        <v>0</v>
      </c>
      <c r="V7" s="56">
        <f>IF(CoreValuesResults[[#This Row],[Team Number]]&gt;0,MIN(_xlfn.RANK.EQ(CoreValuesResults[[#This Row],[Core Values Score]],CoreValuesResults[Core Values Score],0),NumberOfTeams),NumberOfTeams+1)</f>
        <v>1</v>
      </c>
      <c r="W7" s="57"/>
      <c r="X7" s="57"/>
      <c r="Y7" s="57"/>
    </row>
    <row r="8" spans="1:30" ht="30" customHeight="1" x14ac:dyDescent="0.3">
      <c r="A8" s="115"/>
      <c r="B8" s="116" t="str">
        <f>IF(ISNA(INDEX(OfficialTeamList[Team Name],MATCH(CoreValuesResults[[#This Row],[Team Number]], OfficialTeamList[Team Number],0))),"",INDEX(OfficialTeamList[Team Name],MATCH(CoreValuesResults[[#This Row],[Team Number]], OfficialTeamList[Team Number],0)))</f>
        <v/>
      </c>
      <c r="C8" s="118">
        <f>'Innovation Project Input'!D8</f>
        <v>0</v>
      </c>
      <c r="D8" s="118">
        <f>InnovationProjectResults[[#This Row],[Design - Teamwork (CV)]]</f>
        <v>0</v>
      </c>
      <c r="E8" s="118">
        <f>InnovationProjectResults[[#This Row],[Create - Innovation (CV)]]</f>
        <v>0</v>
      </c>
      <c r="F8" s="118">
        <f>InnovationProjectResults[[#This Row],[Communicate - Impact (CV)]]</f>
        <v>0</v>
      </c>
      <c r="G8" s="118">
        <f>InnovationProjectResults[[#This Row],[Communicate - Fun (CV)]]</f>
        <v>0</v>
      </c>
      <c r="H8" s="118">
        <f>'Robot Design Input'!D8</f>
        <v>0</v>
      </c>
      <c r="I8" s="118">
        <f>'Robot Design Input'!E8</f>
        <v>0</v>
      </c>
      <c r="J8" s="118">
        <f>RobotDesignResults[[#This Row],[Iterate - Improvements (CV)]]</f>
        <v>0</v>
      </c>
      <c r="K8" s="118">
        <f>RobotDesignResults[[#This Row],[Communicate - Impact (CV)]]</f>
        <v>0</v>
      </c>
      <c r="L8" s="118">
        <f>RobotDesignResults[[#This Row],[Communicate - Fun (CV)]]</f>
        <v>0</v>
      </c>
      <c r="M8" s="115"/>
      <c r="N8" s="115"/>
      <c r="O8" s="115"/>
      <c r="P8" s="115"/>
      <c r="Q8" s="115"/>
      <c r="R8" s="115" t="str">
        <f>IF(CoreValuesResults[[#This Row],[Gracious Professionalism 1]]="","",COUNTIF(CoreValuesResults[[#This Row],[Gracious Professionalism 1]:[Gracious Professionalism 5]],""))</f>
        <v/>
      </c>
      <c r="S8" s="115" t="str">
        <f>IF(CoreValuesResults[[#This Row],[Gracious Professionalism 1]]="","",SUM(CoreValuesResults[[#This Row],[Gracious Professionalism 1]:[Gracious Professionalism 5]]))</f>
        <v/>
      </c>
      <c r="T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 s="111">
        <f>SUM(CoreValuesResults[[#This Row],[Discovery (IP)]:[Fun (RD)]],CoreValuesResults[[#This Row],[Gracious Professionalism Score]])</f>
        <v>0</v>
      </c>
      <c r="V8" s="56">
        <f>IF(CoreValuesResults[[#This Row],[Team Number]]&gt;0,MIN(_xlfn.RANK.EQ(CoreValuesResults[[#This Row],[Core Values Score]],CoreValuesResults[Core Values Score],0),NumberOfTeams),NumberOfTeams+1)</f>
        <v>1</v>
      </c>
      <c r="W8" s="57"/>
      <c r="X8" s="57"/>
      <c r="Y8" s="57"/>
    </row>
    <row r="9" spans="1:30" ht="30" customHeight="1" x14ac:dyDescent="0.3">
      <c r="A9" s="115"/>
      <c r="B9" s="116" t="str">
        <f>IF(ISNA(INDEX(OfficialTeamList[Team Name],MATCH(CoreValuesResults[[#This Row],[Team Number]], OfficialTeamList[Team Number],0))),"",INDEX(OfficialTeamList[Team Name],MATCH(CoreValuesResults[[#This Row],[Team Number]], OfficialTeamList[Team Number],0)))</f>
        <v/>
      </c>
      <c r="C9" s="118">
        <f>'Innovation Project Input'!D9</f>
        <v>0</v>
      </c>
      <c r="D9" s="118">
        <f>InnovationProjectResults[[#This Row],[Design - Teamwork (CV)]]</f>
        <v>0</v>
      </c>
      <c r="E9" s="118">
        <f>InnovationProjectResults[[#This Row],[Create - Innovation (CV)]]</f>
        <v>0</v>
      </c>
      <c r="F9" s="118">
        <f>InnovationProjectResults[[#This Row],[Communicate - Impact (CV)]]</f>
        <v>0</v>
      </c>
      <c r="G9" s="118">
        <f>InnovationProjectResults[[#This Row],[Communicate - Fun (CV)]]</f>
        <v>0</v>
      </c>
      <c r="H9" s="118">
        <f>'Robot Design Input'!D9</f>
        <v>0</v>
      </c>
      <c r="I9" s="118">
        <f>'Robot Design Input'!E9</f>
        <v>0</v>
      </c>
      <c r="J9" s="118">
        <f>RobotDesignResults[[#This Row],[Iterate - Improvements (CV)]]</f>
        <v>0</v>
      </c>
      <c r="K9" s="118">
        <f>RobotDesignResults[[#This Row],[Communicate - Impact (CV)]]</f>
        <v>0</v>
      </c>
      <c r="L9" s="118">
        <f>RobotDesignResults[[#This Row],[Communicate - Fun (CV)]]</f>
        <v>0</v>
      </c>
      <c r="M9" s="115"/>
      <c r="N9" s="115"/>
      <c r="O9" s="115"/>
      <c r="P9" s="115"/>
      <c r="Q9" s="115"/>
      <c r="R9" s="115" t="str">
        <f>IF(CoreValuesResults[[#This Row],[Gracious Professionalism 1]]="","",COUNTIF(CoreValuesResults[[#This Row],[Gracious Professionalism 1]:[Gracious Professionalism 5]],""))</f>
        <v/>
      </c>
      <c r="S9" s="115" t="str">
        <f>IF(CoreValuesResults[[#This Row],[Gracious Professionalism 1]]="","",SUM(CoreValuesResults[[#This Row],[Gracious Professionalism 1]:[Gracious Professionalism 5]]))</f>
        <v/>
      </c>
      <c r="T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 s="111">
        <f>SUM(CoreValuesResults[[#This Row],[Discovery (IP)]:[Fun (RD)]],CoreValuesResults[[#This Row],[Gracious Professionalism Score]])</f>
        <v>0</v>
      </c>
      <c r="V9" s="56">
        <f>IF(CoreValuesResults[[#This Row],[Team Number]]&gt;0,MIN(_xlfn.RANK.EQ(CoreValuesResults[[#This Row],[Core Values Score]],CoreValuesResults[Core Values Score],0),NumberOfTeams),NumberOfTeams+1)</f>
        <v>1</v>
      </c>
      <c r="W9" s="57"/>
      <c r="X9" s="57"/>
      <c r="Y9" s="57"/>
    </row>
    <row r="10" spans="1:30" ht="30" customHeight="1" x14ac:dyDescent="0.3">
      <c r="A10" s="115"/>
      <c r="B10" s="116" t="str">
        <f>IF(ISNA(INDEX(OfficialTeamList[Team Name],MATCH(CoreValuesResults[[#This Row],[Team Number]], OfficialTeamList[Team Number],0))),"",INDEX(OfficialTeamList[Team Name],MATCH(CoreValuesResults[[#This Row],[Team Number]], OfficialTeamList[Team Number],0)))</f>
        <v/>
      </c>
      <c r="C10" s="118">
        <f>'Innovation Project Input'!D10</f>
        <v>0</v>
      </c>
      <c r="D10" s="118">
        <f>InnovationProjectResults[[#This Row],[Design - Teamwork (CV)]]</f>
        <v>0</v>
      </c>
      <c r="E10" s="118">
        <f>InnovationProjectResults[[#This Row],[Create - Innovation (CV)]]</f>
        <v>0</v>
      </c>
      <c r="F10" s="118">
        <f>InnovationProjectResults[[#This Row],[Communicate - Impact (CV)]]</f>
        <v>0</v>
      </c>
      <c r="G10" s="118">
        <f>InnovationProjectResults[[#This Row],[Communicate - Fun (CV)]]</f>
        <v>0</v>
      </c>
      <c r="H10" s="118">
        <f>'Robot Design Input'!D10</f>
        <v>0</v>
      </c>
      <c r="I10" s="118">
        <f>'Robot Design Input'!E10</f>
        <v>0</v>
      </c>
      <c r="J10" s="118">
        <f>RobotDesignResults[[#This Row],[Iterate - Improvements (CV)]]</f>
        <v>0</v>
      </c>
      <c r="K10" s="118">
        <f>RobotDesignResults[[#This Row],[Communicate - Impact (CV)]]</f>
        <v>0</v>
      </c>
      <c r="L10" s="118">
        <f>RobotDesignResults[[#This Row],[Communicate - Fun (CV)]]</f>
        <v>0</v>
      </c>
      <c r="M10" s="115"/>
      <c r="N10" s="115"/>
      <c r="O10" s="115"/>
      <c r="P10" s="115"/>
      <c r="Q10" s="115"/>
      <c r="R10" s="115" t="str">
        <f>IF(CoreValuesResults[[#This Row],[Gracious Professionalism 1]]="","",COUNTIF(CoreValuesResults[[#This Row],[Gracious Professionalism 1]:[Gracious Professionalism 5]],""))</f>
        <v/>
      </c>
      <c r="S10" s="115" t="str">
        <f>IF(CoreValuesResults[[#This Row],[Gracious Professionalism 1]]="","",SUM(CoreValuesResults[[#This Row],[Gracious Professionalism 1]:[Gracious Professionalism 5]]))</f>
        <v/>
      </c>
      <c r="T1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 s="111">
        <f>SUM(CoreValuesResults[[#This Row],[Discovery (IP)]:[Fun (RD)]],CoreValuesResults[[#This Row],[Gracious Professionalism Score]])</f>
        <v>0</v>
      </c>
      <c r="V10" s="56">
        <f>IF(CoreValuesResults[[#This Row],[Team Number]]&gt;0,MIN(_xlfn.RANK.EQ(CoreValuesResults[[#This Row],[Core Values Score]],CoreValuesResults[Core Values Score],0),NumberOfTeams),NumberOfTeams+1)</f>
        <v>1</v>
      </c>
      <c r="W10" s="57"/>
      <c r="X10" s="57"/>
      <c r="Y10" s="57"/>
    </row>
    <row r="11" spans="1:30" ht="30" customHeight="1" x14ac:dyDescent="0.3">
      <c r="A11" s="115"/>
      <c r="B11" s="116" t="str">
        <f>IF(ISNA(INDEX(OfficialTeamList[Team Name],MATCH(CoreValuesResults[[#This Row],[Team Number]], OfficialTeamList[Team Number],0))),"",INDEX(OfficialTeamList[Team Name],MATCH(CoreValuesResults[[#This Row],[Team Number]], OfficialTeamList[Team Number],0)))</f>
        <v/>
      </c>
      <c r="C11" s="118">
        <f>'Innovation Project Input'!D11</f>
        <v>0</v>
      </c>
      <c r="D11" s="118">
        <f>InnovationProjectResults[[#This Row],[Design - Teamwork (CV)]]</f>
        <v>0</v>
      </c>
      <c r="E11" s="118">
        <f>InnovationProjectResults[[#This Row],[Create - Innovation (CV)]]</f>
        <v>0</v>
      </c>
      <c r="F11" s="118">
        <f>InnovationProjectResults[[#This Row],[Communicate - Impact (CV)]]</f>
        <v>0</v>
      </c>
      <c r="G11" s="118">
        <f>InnovationProjectResults[[#This Row],[Communicate - Fun (CV)]]</f>
        <v>0</v>
      </c>
      <c r="H11" s="118">
        <f>'Robot Design Input'!D11</f>
        <v>0</v>
      </c>
      <c r="I11" s="118">
        <f>'Robot Design Input'!E11</f>
        <v>0</v>
      </c>
      <c r="J11" s="118">
        <f>RobotDesignResults[[#This Row],[Iterate - Improvements (CV)]]</f>
        <v>0</v>
      </c>
      <c r="K11" s="118">
        <f>RobotDesignResults[[#This Row],[Communicate - Impact (CV)]]</f>
        <v>0</v>
      </c>
      <c r="L11" s="118">
        <f>RobotDesignResults[[#This Row],[Communicate - Fun (CV)]]</f>
        <v>0</v>
      </c>
      <c r="M11" s="115"/>
      <c r="N11" s="115"/>
      <c r="O11" s="115"/>
      <c r="P11" s="115"/>
      <c r="Q11" s="115"/>
      <c r="R11" s="115" t="str">
        <f>IF(CoreValuesResults[[#This Row],[Gracious Professionalism 1]]="","",COUNTIF(CoreValuesResults[[#This Row],[Gracious Professionalism 1]:[Gracious Professionalism 5]],""))</f>
        <v/>
      </c>
      <c r="S11" s="115" t="str">
        <f>IF(CoreValuesResults[[#This Row],[Gracious Professionalism 1]]="","",SUM(CoreValuesResults[[#This Row],[Gracious Professionalism 1]:[Gracious Professionalism 5]]))</f>
        <v/>
      </c>
      <c r="T1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1" s="111">
        <f>SUM(CoreValuesResults[[#This Row],[Discovery (IP)]:[Fun (RD)]],CoreValuesResults[[#This Row],[Gracious Professionalism Score]])</f>
        <v>0</v>
      </c>
      <c r="V11" s="56">
        <f>IF(CoreValuesResults[[#This Row],[Team Number]]&gt;0,MIN(_xlfn.RANK.EQ(CoreValuesResults[[#This Row],[Core Values Score]],CoreValuesResults[Core Values Score],0),NumberOfTeams),NumberOfTeams+1)</f>
        <v>1</v>
      </c>
      <c r="W11" s="57"/>
      <c r="X11" s="57"/>
      <c r="Y11" s="57"/>
    </row>
    <row r="12" spans="1:30" ht="30" customHeight="1" x14ac:dyDescent="0.3">
      <c r="A12" s="115"/>
      <c r="B12" s="116" t="str">
        <f>IF(ISNA(INDEX(OfficialTeamList[Team Name],MATCH(CoreValuesResults[[#This Row],[Team Number]], OfficialTeamList[Team Number],0))),"",INDEX(OfficialTeamList[Team Name],MATCH(CoreValuesResults[[#This Row],[Team Number]], OfficialTeamList[Team Number],0)))</f>
        <v/>
      </c>
      <c r="C12" s="118">
        <f>'Innovation Project Input'!D12</f>
        <v>0</v>
      </c>
      <c r="D12" s="118">
        <f>InnovationProjectResults[[#This Row],[Design - Teamwork (CV)]]</f>
        <v>0</v>
      </c>
      <c r="E12" s="118">
        <f>InnovationProjectResults[[#This Row],[Create - Innovation (CV)]]</f>
        <v>0</v>
      </c>
      <c r="F12" s="118">
        <f>InnovationProjectResults[[#This Row],[Communicate - Impact (CV)]]</f>
        <v>0</v>
      </c>
      <c r="G12" s="118">
        <f>InnovationProjectResults[[#This Row],[Communicate - Fun (CV)]]</f>
        <v>0</v>
      </c>
      <c r="H12" s="118">
        <f>'Robot Design Input'!D12</f>
        <v>0</v>
      </c>
      <c r="I12" s="118">
        <f>'Robot Design Input'!E12</f>
        <v>0</v>
      </c>
      <c r="J12" s="118">
        <f>RobotDesignResults[[#This Row],[Iterate - Improvements (CV)]]</f>
        <v>0</v>
      </c>
      <c r="K12" s="118">
        <f>RobotDesignResults[[#This Row],[Communicate - Impact (CV)]]</f>
        <v>0</v>
      </c>
      <c r="L12" s="118">
        <f>RobotDesignResults[[#This Row],[Communicate - Fun (CV)]]</f>
        <v>0</v>
      </c>
      <c r="M12" s="115"/>
      <c r="N12" s="115"/>
      <c r="O12" s="115"/>
      <c r="P12" s="115"/>
      <c r="Q12" s="115"/>
      <c r="R12" s="115" t="str">
        <f>IF(CoreValuesResults[[#This Row],[Gracious Professionalism 1]]="","",COUNTIF(CoreValuesResults[[#This Row],[Gracious Professionalism 1]:[Gracious Professionalism 5]],""))</f>
        <v/>
      </c>
      <c r="S12" s="115" t="str">
        <f>IF(CoreValuesResults[[#This Row],[Gracious Professionalism 1]]="","",SUM(CoreValuesResults[[#This Row],[Gracious Professionalism 1]:[Gracious Professionalism 5]]))</f>
        <v/>
      </c>
      <c r="T1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2" s="111">
        <f>SUM(CoreValuesResults[[#This Row],[Discovery (IP)]:[Fun (RD)]],CoreValuesResults[[#This Row],[Gracious Professionalism Score]])</f>
        <v>0</v>
      </c>
      <c r="V12" s="56">
        <f>IF(CoreValuesResults[[#This Row],[Team Number]]&gt;0,MIN(_xlfn.RANK.EQ(CoreValuesResults[[#This Row],[Core Values Score]],CoreValuesResults[Core Values Score],0),NumberOfTeams),NumberOfTeams+1)</f>
        <v>1</v>
      </c>
      <c r="W12" s="57"/>
      <c r="X12" s="57"/>
      <c r="Y12" s="57"/>
    </row>
    <row r="13" spans="1:30" ht="30" customHeight="1" x14ac:dyDescent="0.3">
      <c r="A13" s="115"/>
      <c r="B13" s="116" t="str">
        <f>IF(ISNA(INDEX(OfficialTeamList[Team Name],MATCH(CoreValuesResults[[#This Row],[Team Number]], OfficialTeamList[Team Number],0))),"",INDEX(OfficialTeamList[Team Name],MATCH(CoreValuesResults[[#This Row],[Team Number]], OfficialTeamList[Team Number],0)))</f>
        <v/>
      </c>
      <c r="C13" s="118">
        <f>'Innovation Project Input'!D13</f>
        <v>0</v>
      </c>
      <c r="D13" s="118">
        <f>InnovationProjectResults[[#This Row],[Design - Teamwork (CV)]]</f>
        <v>0</v>
      </c>
      <c r="E13" s="118">
        <f>InnovationProjectResults[[#This Row],[Create - Innovation (CV)]]</f>
        <v>0</v>
      </c>
      <c r="F13" s="118">
        <f>InnovationProjectResults[[#This Row],[Communicate - Impact (CV)]]</f>
        <v>0</v>
      </c>
      <c r="G13" s="118">
        <f>InnovationProjectResults[[#This Row],[Communicate - Fun (CV)]]</f>
        <v>0</v>
      </c>
      <c r="H13" s="118">
        <f>'Robot Design Input'!D13</f>
        <v>0</v>
      </c>
      <c r="I13" s="118">
        <f>'Robot Design Input'!E13</f>
        <v>0</v>
      </c>
      <c r="J13" s="118">
        <f>RobotDesignResults[[#This Row],[Iterate - Improvements (CV)]]</f>
        <v>0</v>
      </c>
      <c r="K13" s="118">
        <f>RobotDesignResults[[#This Row],[Communicate - Impact (CV)]]</f>
        <v>0</v>
      </c>
      <c r="L13" s="118">
        <f>RobotDesignResults[[#This Row],[Communicate - Fun (CV)]]</f>
        <v>0</v>
      </c>
      <c r="M13" s="115"/>
      <c r="N13" s="115"/>
      <c r="O13" s="115"/>
      <c r="P13" s="115"/>
      <c r="Q13" s="115"/>
      <c r="R13" s="115" t="str">
        <f>IF(CoreValuesResults[[#This Row],[Gracious Professionalism 1]]="","",COUNTIF(CoreValuesResults[[#This Row],[Gracious Professionalism 1]:[Gracious Professionalism 5]],""))</f>
        <v/>
      </c>
      <c r="S13" s="115" t="str">
        <f>IF(CoreValuesResults[[#This Row],[Gracious Professionalism 1]]="","",SUM(CoreValuesResults[[#This Row],[Gracious Professionalism 1]:[Gracious Professionalism 5]]))</f>
        <v/>
      </c>
      <c r="T1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3" s="111">
        <f>SUM(CoreValuesResults[[#This Row],[Discovery (IP)]:[Fun (RD)]],CoreValuesResults[[#This Row],[Gracious Professionalism Score]])</f>
        <v>0</v>
      </c>
      <c r="V13" s="56">
        <f>IF(CoreValuesResults[[#This Row],[Team Number]]&gt;0,MIN(_xlfn.RANK.EQ(CoreValuesResults[[#This Row],[Core Values Score]],CoreValuesResults[Core Values Score],0),NumberOfTeams),NumberOfTeams+1)</f>
        <v>1</v>
      </c>
      <c r="W13" s="57"/>
      <c r="X13" s="57"/>
      <c r="Y13" s="57"/>
    </row>
    <row r="14" spans="1:30" ht="30" customHeight="1" x14ac:dyDescent="0.3">
      <c r="A14" s="115"/>
      <c r="B14" s="116" t="str">
        <f>IF(ISNA(INDEX(OfficialTeamList[Team Name],MATCH(CoreValuesResults[[#This Row],[Team Number]], OfficialTeamList[Team Number],0))),"",INDEX(OfficialTeamList[Team Name],MATCH(CoreValuesResults[[#This Row],[Team Number]], OfficialTeamList[Team Number],0)))</f>
        <v/>
      </c>
      <c r="C14" s="118">
        <f>'Innovation Project Input'!D14</f>
        <v>0</v>
      </c>
      <c r="D14" s="118">
        <f>InnovationProjectResults[[#This Row],[Design - Teamwork (CV)]]</f>
        <v>0</v>
      </c>
      <c r="E14" s="118">
        <f>InnovationProjectResults[[#This Row],[Create - Innovation (CV)]]</f>
        <v>0</v>
      </c>
      <c r="F14" s="118">
        <f>InnovationProjectResults[[#This Row],[Communicate - Impact (CV)]]</f>
        <v>0</v>
      </c>
      <c r="G14" s="118">
        <f>InnovationProjectResults[[#This Row],[Communicate - Fun (CV)]]</f>
        <v>0</v>
      </c>
      <c r="H14" s="118">
        <f>'Robot Design Input'!D14</f>
        <v>0</v>
      </c>
      <c r="I14" s="118">
        <f>'Robot Design Input'!E14</f>
        <v>0</v>
      </c>
      <c r="J14" s="118">
        <f>RobotDesignResults[[#This Row],[Iterate - Improvements (CV)]]</f>
        <v>0</v>
      </c>
      <c r="K14" s="118">
        <f>RobotDesignResults[[#This Row],[Communicate - Impact (CV)]]</f>
        <v>0</v>
      </c>
      <c r="L14" s="118">
        <f>RobotDesignResults[[#This Row],[Communicate - Fun (CV)]]</f>
        <v>0</v>
      </c>
      <c r="M14" s="115"/>
      <c r="N14" s="115"/>
      <c r="O14" s="115"/>
      <c r="P14" s="115"/>
      <c r="Q14" s="115"/>
      <c r="R14" s="115" t="str">
        <f>IF(CoreValuesResults[[#This Row],[Gracious Professionalism 1]]="","",COUNTIF(CoreValuesResults[[#This Row],[Gracious Professionalism 1]:[Gracious Professionalism 5]],""))</f>
        <v/>
      </c>
      <c r="S14" s="115" t="str">
        <f>IF(CoreValuesResults[[#This Row],[Gracious Professionalism 1]]="","",SUM(CoreValuesResults[[#This Row],[Gracious Professionalism 1]:[Gracious Professionalism 5]]))</f>
        <v/>
      </c>
      <c r="T1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4" s="111">
        <f>SUM(CoreValuesResults[[#This Row],[Discovery (IP)]:[Fun (RD)]],CoreValuesResults[[#This Row],[Gracious Professionalism Score]])</f>
        <v>0</v>
      </c>
      <c r="V14" s="56">
        <f>IF(CoreValuesResults[[#This Row],[Team Number]]&gt;0,MIN(_xlfn.RANK.EQ(CoreValuesResults[[#This Row],[Core Values Score]],CoreValuesResults[Core Values Score],0),NumberOfTeams),NumberOfTeams+1)</f>
        <v>1</v>
      </c>
      <c r="W14" s="57"/>
      <c r="X14" s="57"/>
      <c r="Y14" s="57"/>
    </row>
    <row r="15" spans="1:30" ht="30" customHeight="1" x14ac:dyDescent="0.3">
      <c r="A15" s="115"/>
      <c r="B15" s="116" t="str">
        <f>IF(ISNA(INDEX(OfficialTeamList[Team Name],MATCH(CoreValuesResults[[#This Row],[Team Number]], OfficialTeamList[Team Number],0))),"",INDEX(OfficialTeamList[Team Name],MATCH(CoreValuesResults[[#This Row],[Team Number]], OfficialTeamList[Team Number],0)))</f>
        <v/>
      </c>
      <c r="C15" s="118">
        <f>'Innovation Project Input'!D15</f>
        <v>0</v>
      </c>
      <c r="D15" s="118">
        <f>InnovationProjectResults[[#This Row],[Design - Teamwork (CV)]]</f>
        <v>0</v>
      </c>
      <c r="E15" s="118">
        <f>InnovationProjectResults[[#This Row],[Create - Innovation (CV)]]</f>
        <v>0</v>
      </c>
      <c r="F15" s="118">
        <f>InnovationProjectResults[[#This Row],[Communicate - Impact (CV)]]</f>
        <v>0</v>
      </c>
      <c r="G15" s="118">
        <f>InnovationProjectResults[[#This Row],[Communicate - Fun (CV)]]</f>
        <v>0</v>
      </c>
      <c r="H15" s="118">
        <f>'Robot Design Input'!D15</f>
        <v>0</v>
      </c>
      <c r="I15" s="118">
        <f>'Robot Design Input'!E15</f>
        <v>0</v>
      </c>
      <c r="J15" s="118">
        <f>RobotDesignResults[[#This Row],[Iterate - Improvements (CV)]]</f>
        <v>0</v>
      </c>
      <c r="K15" s="118">
        <f>RobotDesignResults[[#This Row],[Communicate - Impact (CV)]]</f>
        <v>0</v>
      </c>
      <c r="L15" s="118">
        <f>RobotDesignResults[[#This Row],[Communicate - Fun (CV)]]</f>
        <v>0</v>
      </c>
      <c r="M15" s="115"/>
      <c r="N15" s="115"/>
      <c r="O15" s="115"/>
      <c r="P15" s="115"/>
      <c r="Q15" s="115"/>
      <c r="R15" s="115" t="str">
        <f>IF(CoreValuesResults[[#This Row],[Gracious Professionalism 1]]="","",COUNTIF(CoreValuesResults[[#This Row],[Gracious Professionalism 1]:[Gracious Professionalism 5]],""))</f>
        <v/>
      </c>
      <c r="S15" s="115" t="str">
        <f>IF(CoreValuesResults[[#This Row],[Gracious Professionalism 1]]="","",SUM(CoreValuesResults[[#This Row],[Gracious Professionalism 1]:[Gracious Professionalism 5]]))</f>
        <v/>
      </c>
      <c r="T1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5" s="111">
        <f>SUM(CoreValuesResults[[#This Row],[Discovery (IP)]:[Fun (RD)]],CoreValuesResults[[#This Row],[Gracious Professionalism Score]])</f>
        <v>0</v>
      </c>
      <c r="V15" s="56">
        <f>IF(CoreValuesResults[[#This Row],[Team Number]]&gt;0,MIN(_xlfn.RANK.EQ(CoreValuesResults[[#This Row],[Core Values Score]],CoreValuesResults[Core Values Score],0),NumberOfTeams),NumberOfTeams+1)</f>
        <v>1</v>
      </c>
      <c r="W15" s="57"/>
      <c r="X15" s="57"/>
      <c r="Y15" s="57"/>
    </row>
    <row r="16" spans="1:30" ht="30" customHeight="1" x14ac:dyDescent="0.3">
      <c r="A16" s="115"/>
      <c r="B16" s="116" t="str">
        <f>IF(ISNA(INDEX(OfficialTeamList[Team Name],MATCH(CoreValuesResults[[#This Row],[Team Number]], OfficialTeamList[Team Number],0))),"",INDEX(OfficialTeamList[Team Name],MATCH(CoreValuesResults[[#This Row],[Team Number]], OfficialTeamList[Team Number],0)))</f>
        <v/>
      </c>
      <c r="C16" s="118">
        <f>'Innovation Project Input'!D16</f>
        <v>0</v>
      </c>
      <c r="D16" s="118">
        <f>InnovationProjectResults[[#This Row],[Design - Teamwork (CV)]]</f>
        <v>0</v>
      </c>
      <c r="E16" s="118">
        <f>InnovationProjectResults[[#This Row],[Create - Innovation (CV)]]</f>
        <v>0</v>
      </c>
      <c r="F16" s="118">
        <f>InnovationProjectResults[[#This Row],[Communicate - Impact (CV)]]</f>
        <v>0</v>
      </c>
      <c r="G16" s="118">
        <f>InnovationProjectResults[[#This Row],[Communicate - Fun (CV)]]</f>
        <v>0</v>
      </c>
      <c r="H16" s="118">
        <f>'Robot Design Input'!D16</f>
        <v>0</v>
      </c>
      <c r="I16" s="118">
        <f>'Robot Design Input'!E16</f>
        <v>0</v>
      </c>
      <c r="J16" s="118">
        <f>RobotDesignResults[[#This Row],[Iterate - Improvements (CV)]]</f>
        <v>0</v>
      </c>
      <c r="K16" s="118">
        <f>RobotDesignResults[[#This Row],[Communicate - Impact (CV)]]</f>
        <v>0</v>
      </c>
      <c r="L16" s="118">
        <f>RobotDesignResults[[#This Row],[Communicate - Fun (CV)]]</f>
        <v>0</v>
      </c>
      <c r="M16" s="115"/>
      <c r="N16" s="115"/>
      <c r="O16" s="115"/>
      <c r="P16" s="115"/>
      <c r="Q16" s="115"/>
      <c r="R16" s="115" t="str">
        <f>IF(CoreValuesResults[[#This Row],[Gracious Professionalism 1]]="","",COUNTIF(CoreValuesResults[[#This Row],[Gracious Professionalism 1]:[Gracious Professionalism 5]],""))</f>
        <v/>
      </c>
      <c r="S16" s="115" t="str">
        <f>IF(CoreValuesResults[[#This Row],[Gracious Professionalism 1]]="","",SUM(CoreValuesResults[[#This Row],[Gracious Professionalism 1]:[Gracious Professionalism 5]]))</f>
        <v/>
      </c>
      <c r="T1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6" s="111">
        <f>SUM(CoreValuesResults[[#This Row],[Discovery (IP)]:[Fun (RD)]],CoreValuesResults[[#This Row],[Gracious Professionalism Score]])</f>
        <v>0</v>
      </c>
      <c r="V16" s="56">
        <f>IF(CoreValuesResults[[#This Row],[Team Number]]&gt;0,MIN(_xlfn.RANK.EQ(CoreValuesResults[[#This Row],[Core Values Score]],CoreValuesResults[Core Values Score],0),NumberOfTeams),NumberOfTeams+1)</f>
        <v>1</v>
      </c>
      <c r="W16" s="57"/>
      <c r="X16" s="57"/>
      <c r="Y16" s="57"/>
    </row>
    <row r="17" spans="1:25" ht="30" customHeight="1" x14ac:dyDescent="0.3">
      <c r="A17" s="115"/>
      <c r="B17" s="116" t="str">
        <f>IF(ISNA(INDEX(OfficialTeamList[Team Name],MATCH(CoreValuesResults[[#This Row],[Team Number]], OfficialTeamList[Team Number],0))),"",INDEX(OfficialTeamList[Team Name],MATCH(CoreValuesResults[[#This Row],[Team Number]], OfficialTeamList[Team Number],0)))</f>
        <v/>
      </c>
      <c r="C17" s="118">
        <f>'Innovation Project Input'!D17</f>
        <v>0</v>
      </c>
      <c r="D17" s="118">
        <f>InnovationProjectResults[[#This Row],[Design - Teamwork (CV)]]</f>
        <v>0</v>
      </c>
      <c r="E17" s="118">
        <f>InnovationProjectResults[[#This Row],[Create - Innovation (CV)]]</f>
        <v>0</v>
      </c>
      <c r="F17" s="118">
        <f>InnovationProjectResults[[#This Row],[Communicate - Impact (CV)]]</f>
        <v>0</v>
      </c>
      <c r="G17" s="118">
        <f>InnovationProjectResults[[#This Row],[Communicate - Fun (CV)]]</f>
        <v>0</v>
      </c>
      <c r="H17" s="118">
        <f>'Robot Design Input'!D17</f>
        <v>0</v>
      </c>
      <c r="I17" s="118">
        <f>'Robot Design Input'!E17</f>
        <v>0</v>
      </c>
      <c r="J17" s="118">
        <f>RobotDesignResults[[#This Row],[Iterate - Improvements (CV)]]</f>
        <v>0</v>
      </c>
      <c r="K17" s="118">
        <f>RobotDesignResults[[#This Row],[Communicate - Impact (CV)]]</f>
        <v>0</v>
      </c>
      <c r="L17" s="118">
        <f>RobotDesignResults[[#This Row],[Communicate - Fun (CV)]]</f>
        <v>0</v>
      </c>
      <c r="M17" s="115"/>
      <c r="N17" s="115"/>
      <c r="O17" s="115"/>
      <c r="P17" s="115"/>
      <c r="Q17" s="115"/>
      <c r="R17" s="115" t="str">
        <f>IF(CoreValuesResults[[#This Row],[Gracious Professionalism 1]]="","",COUNTIF(CoreValuesResults[[#This Row],[Gracious Professionalism 1]:[Gracious Professionalism 5]],""))</f>
        <v/>
      </c>
      <c r="S17" s="115" t="str">
        <f>IF(CoreValuesResults[[#This Row],[Gracious Professionalism 1]]="","",SUM(CoreValuesResults[[#This Row],[Gracious Professionalism 1]:[Gracious Professionalism 5]]))</f>
        <v/>
      </c>
      <c r="T1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7" s="111">
        <f>SUM(CoreValuesResults[[#This Row],[Discovery (IP)]:[Fun (RD)]],CoreValuesResults[[#This Row],[Gracious Professionalism Score]])</f>
        <v>0</v>
      </c>
      <c r="V17" s="56">
        <f>IF(CoreValuesResults[[#This Row],[Team Number]]&gt;0,MIN(_xlfn.RANK.EQ(CoreValuesResults[[#This Row],[Core Values Score]],CoreValuesResults[Core Values Score],0),NumberOfTeams),NumberOfTeams+1)</f>
        <v>1</v>
      </c>
      <c r="W17" s="57"/>
      <c r="X17" s="57"/>
      <c r="Y17" s="57"/>
    </row>
    <row r="18" spans="1:25" ht="30" customHeight="1" x14ac:dyDescent="0.3">
      <c r="A18" s="115"/>
      <c r="B18" s="116" t="str">
        <f>IF(ISNA(INDEX(OfficialTeamList[Team Name],MATCH(CoreValuesResults[[#This Row],[Team Number]], OfficialTeamList[Team Number],0))),"",INDEX(OfficialTeamList[Team Name],MATCH(CoreValuesResults[[#This Row],[Team Number]], OfficialTeamList[Team Number],0)))</f>
        <v/>
      </c>
      <c r="C18" s="118">
        <f>'Innovation Project Input'!D18</f>
        <v>0</v>
      </c>
      <c r="D18" s="118">
        <f>InnovationProjectResults[[#This Row],[Design - Teamwork (CV)]]</f>
        <v>0</v>
      </c>
      <c r="E18" s="118">
        <f>InnovationProjectResults[[#This Row],[Create - Innovation (CV)]]</f>
        <v>0</v>
      </c>
      <c r="F18" s="118">
        <f>InnovationProjectResults[[#This Row],[Communicate - Impact (CV)]]</f>
        <v>0</v>
      </c>
      <c r="G18" s="118">
        <f>InnovationProjectResults[[#This Row],[Communicate - Fun (CV)]]</f>
        <v>0</v>
      </c>
      <c r="H18" s="118">
        <f>'Robot Design Input'!D18</f>
        <v>0</v>
      </c>
      <c r="I18" s="118">
        <f>'Robot Design Input'!E18</f>
        <v>0</v>
      </c>
      <c r="J18" s="118">
        <f>RobotDesignResults[[#This Row],[Iterate - Improvements (CV)]]</f>
        <v>0</v>
      </c>
      <c r="K18" s="118">
        <f>RobotDesignResults[[#This Row],[Communicate - Impact (CV)]]</f>
        <v>0</v>
      </c>
      <c r="L18" s="118">
        <f>RobotDesignResults[[#This Row],[Communicate - Fun (CV)]]</f>
        <v>0</v>
      </c>
      <c r="M18" s="115"/>
      <c r="N18" s="115"/>
      <c r="O18" s="115"/>
      <c r="P18" s="115"/>
      <c r="Q18" s="115"/>
      <c r="R18" s="115" t="str">
        <f>IF(CoreValuesResults[[#This Row],[Gracious Professionalism 1]]="","",COUNTIF(CoreValuesResults[[#This Row],[Gracious Professionalism 1]:[Gracious Professionalism 5]],""))</f>
        <v/>
      </c>
      <c r="S18" s="115" t="str">
        <f>IF(CoreValuesResults[[#This Row],[Gracious Professionalism 1]]="","",SUM(CoreValuesResults[[#This Row],[Gracious Professionalism 1]:[Gracious Professionalism 5]]))</f>
        <v/>
      </c>
      <c r="T1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8" s="111">
        <f>SUM(CoreValuesResults[[#This Row],[Discovery (IP)]:[Fun (RD)]],CoreValuesResults[[#This Row],[Gracious Professionalism Score]])</f>
        <v>0</v>
      </c>
      <c r="V18" s="56">
        <f>IF(CoreValuesResults[[#This Row],[Team Number]]&gt;0,MIN(_xlfn.RANK.EQ(CoreValuesResults[[#This Row],[Core Values Score]],CoreValuesResults[Core Values Score],0),NumberOfTeams),NumberOfTeams+1)</f>
        <v>1</v>
      </c>
      <c r="W18" s="57"/>
      <c r="X18" s="57"/>
      <c r="Y18" s="57"/>
    </row>
    <row r="19" spans="1:25" ht="30" customHeight="1" x14ac:dyDescent="0.3">
      <c r="A19" s="115"/>
      <c r="B19" s="116" t="str">
        <f>IF(ISNA(INDEX(OfficialTeamList[Team Name],MATCH(CoreValuesResults[[#This Row],[Team Number]], OfficialTeamList[Team Number],0))),"",INDEX(OfficialTeamList[Team Name],MATCH(CoreValuesResults[[#This Row],[Team Number]], OfficialTeamList[Team Number],0)))</f>
        <v/>
      </c>
      <c r="C19" s="118">
        <f>'Innovation Project Input'!D19</f>
        <v>0</v>
      </c>
      <c r="D19" s="118">
        <f>InnovationProjectResults[[#This Row],[Design - Teamwork (CV)]]</f>
        <v>0</v>
      </c>
      <c r="E19" s="118">
        <f>InnovationProjectResults[[#This Row],[Create - Innovation (CV)]]</f>
        <v>0</v>
      </c>
      <c r="F19" s="118">
        <f>InnovationProjectResults[[#This Row],[Communicate - Impact (CV)]]</f>
        <v>0</v>
      </c>
      <c r="G19" s="118">
        <f>InnovationProjectResults[[#This Row],[Communicate - Fun (CV)]]</f>
        <v>0</v>
      </c>
      <c r="H19" s="118">
        <f>'Robot Design Input'!D19</f>
        <v>0</v>
      </c>
      <c r="I19" s="118">
        <f>'Robot Design Input'!E19</f>
        <v>0</v>
      </c>
      <c r="J19" s="118">
        <f>RobotDesignResults[[#This Row],[Iterate - Improvements (CV)]]</f>
        <v>0</v>
      </c>
      <c r="K19" s="118">
        <f>RobotDesignResults[[#This Row],[Communicate - Impact (CV)]]</f>
        <v>0</v>
      </c>
      <c r="L19" s="118">
        <f>RobotDesignResults[[#This Row],[Communicate - Fun (CV)]]</f>
        <v>0</v>
      </c>
      <c r="M19" s="115"/>
      <c r="N19" s="115"/>
      <c r="O19" s="115"/>
      <c r="P19" s="115"/>
      <c r="Q19" s="115"/>
      <c r="R19" s="115" t="str">
        <f>IF(CoreValuesResults[[#This Row],[Gracious Professionalism 1]]="","",COUNTIF(CoreValuesResults[[#This Row],[Gracious Professionalism 1]:[Gracious Professionalism 5]],""))</f>
        <v/>
      </c>
      <c r="S19" s="115" t="str">
        <f>IF(CoreValuesResults[[#This Row],[Gracious Professionalism 1]]="","",SUM(CoreValuesResults[[#This Row],[Gracious Professionalism 1]:[Gracious Professionalism 5]]))</f>
        <v/>
      </c>
      <c r="T1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9" s="111">
        <f>SUM(CoreValuesResults[[#This Row],[Discovery (IP)]:[Fun (RD)]],CoreValuesResults[[#This Row],[Gracious Professionalism Score]])</f>
        <v>0</v>
      </c>
      <c r="V19" s="56">
        <f>IF(CoreValuesResults[[#This Row],[Team Number]]&gt;0,MIN(_xlfn.RANK.EQ(CoreValuesResults[[#This Row],[Core Values Score]],CoreValuesResults[Core Values Score],0),NumberOfTeams),NumberOfTeams+1)</f>
        <v>1</v>
      </c>
      <c r="W19" s="57"/>
      <c r="X19" s="57"/>
      <c r="Y19" s="57"/>
    </row>
    <row r="20" spans="1:25" ht="30" customHeight="1" x14ac:dyDescent="0.3">
      <c r="A20" s="115"/>
      <c r="B20" s="116" t="str">
        <f>IF(ISNA(INDEX(OfficialTeamList[Team Name],MATCH(CoreValuesResults[[#This Row],[Team Number]], OfficialTeamList[Team Number],0))),"",INDEX(OfficialTeamList[Team Name],MATCH(CoreValuesResults[[#This Row],[Team Number]], OfficialTeamList[Team Number],0)))</f>
        <v/>
      </c>
      <c r="C20" s="118">
        <f>'Innovation Project Input'!D20</f>
        <v>0</v>
      </c>
      <c r="D20" s="118">
        <f>InnovationProjectResults[[#This Row],[Design - Teamwork (CV)]]</f>
        <v>0</v>
      </c>
      <c r="E20" s="118">
        <f>InnovationProjectResults[[#This Row],[Create - Innovation (CV)]]</f>
        <v>0</v>
      </c>
      <c r="F20" s="118">
        <f>InnovationProjectResults[[#This Row],[Communicate - Impact (CV)]]</f>
        <v>0</v>
      </c>
      <c r="G20" s="118">
        <f>InnovationProjectResults[[#This Row],[Communicate - Fun (CV)]]</f>
        <v>0</v>
      </c>
      <c r="H20" s="118">
        <f>'Robot Design Input'!D20</f>
        <v>0</v>
      </c>
      <c r="I20" s="118">
        <f>'Robot Design Input'!E20</f>
        <v>0</v>
      </c>
      <c r="J20" s="118">
        <f>RobotDesignResults[[#This Row],[Iterate - Improvements (CV)]]</f>
        <v>0</v>
      </c>
      <c r="K20" s="118">
        <f>RobotDesignResults[[#This Row],[Communicate - Impact (CV)]]</f>
        <v>0</v>
      </c>
      <c r="L20" s="118">
        <f>RobotDesignResults[[#This Row],[Communicate - Fun (CV)]]</f>
        <v>0</v>
      </c>
      <c r="M20" s="115"/>
      <c r="N20" s="115"/>
      <c r="O20" s="115"/>
      <c r="P20" s="115"/>
      <c r="Q20" s="115"/>
      <c r="R20" s="115" t="str">
        <f>IF(CoreValuesResults[[#This Row],[Gracious Professionalism 1]]="","",COUNTIF(CoreValuesResults[[#This Row],[Gracious Professionalism 1]:[Gracious Professionalism 5]],""))</f>
        <v/>
      </c>
      <c r="S20" s="115" t="str">
        <f>IF(CoreValuesResults[[#This Row],[Gracious Professionalism 1]]="","",SUM(CoreValuesResults[[#This Row],[Gracious Professionalism 1]:[Gracious Professionalism 5]]))</f>
        <v/>
      </c>
      <c r="T2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0" s="111">
        <f>SUM(CoreValuesResults[[#This Row],[Discovery (IP)]:[Fun (RD)]],CoreValuesResults[[#This Row],[Gracious Professionalism Score]])</f>
        <v>0</v>
      </c>
      <c r="V20" s="56">
        <f>IF(CoreValuesResults[[#This Row],[Team Number]]&gt;0,MIN(_xlfn.RANK.EQ(CoreValuesResults[[#This Row],[Core Values Score]],CoreValuesResults[Core Values Score],0),NumberOfTeams),NumberOfTeams+1)</f>
        <v>1</v>
      </c>
      <c r="W20" s="57"/>
      <c r="X20" s="57"/>
      <c r="Y20" s="57"/>
    </row>
    <row r="21" spans="1:25" ht="30" customHeight="1" x14ac:dyDescent="0.3">
      <c r="A21" s="115"/>
      <c r="B21" s="116" t="str">
        <f>IF(ISNA(INDEX(OfficialTeamList[Team Name],MATCH(CoreValuesResults[[#This Row],[Team Number]], OfficialTeamList[Team Number],0))),"",INDEX(OfficialTeamList[Team Name],MATCH(CoreValuesResults[[#This Row],[Team Number]], OfficialTeamList[Team Number],0)))</f>
        <v/>
      </c>
      <c r="C21" s="118">
        <f>'Innovation Project Input'!D21</f>
        <v>0</v>
      </c>
      <c r="D21" s="118">
        <f>InnovationProjectResults[[#This Row],[Design - Teamwork (CV)]]</f>
        <v>0</v>
      </c>
      <c r="E21" s="118">
        <f>InnovationProjectResults[[#This Row],[Create - Innovation (CV)]]</f>
        <v>0</v>
      </c>
      <c r="F21" s="118">
        <f>InnovationProjectResults[[#This Row],[Communicate - Impact (CV)]]</f>
        <v>0</v>
      </c>
      <c r="G21" s="118">
        <f>InnovationProjectResults[[#This Row],[Communicate - Fun (CV)]]</f>
        <v>0</v>
      </c>
      <c r="H21" s="118">
        <f>'Robot Design Input'!D21</f>
        <v>0</v>
      </c>
      <c r="I21" s="118">
        <f>'Robot Design Input'!E21</f>
        <v>0</v>
      </c>
      <c r="J21" s="118">
        <f>RobotDesignResults[[#This Row],[Iterate - Improvements (CV)]]</f>
        <v>0</v>
      </c>
      <c r="K21" s="118">
        <f>RobotDesignResults[[#This Row],[Communicate - Impact (CV)]]</f>
        <v>0</v>
      </c>
      <c r="L21" s="118">
        <f>RobotDesignResults[[#This Row],[Communicate - Fun (CV)]]</f>
        <v>0</v>
      </c>
      <c r="M21" s="115"/>
      <c r="N21" s="115"/>
      <c r="O21" s="115"/>
      <c r="P21" s="115"/>
      <c r="Q21" s="115"/>
      <c r="R21" s="115" t="str">
        <f>IF(CoreValuesResults[[#This Row],[Gracious Professionalism 1]]="","",COUNTIF(CoreValuesResults[[#This Row],[Gracious Professionalism 1]:[Gracious Professionalism 5]],""))</f>
        <v/>
      </c>
      <c r="S21" s="115" t="str">
        <f>IF(CoreValuesResults[[#This Row],[Gracious Professionalism 1]]="","",SUM(CoreValuesResults[[#This Row],[Gracious Professionalism 1]:[Gracious Professionalism 5]]))</f>
        <v/>
      </c>
      <c r="T2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1" s="111">
        <f>SUM(CoreValuesResults[[#This Row],[Discovery (IP)]:[Fun (RD)]],CoreValuesResults[[#This Row],[Gracious Professionalism Score]])</f>
        <v>0</v>
      </c>
      <c r="V21" s="56">
        <f>IF(CoreValuesResults[[#This Row],[Team Number]]&gt;0,MIN(_xlfn.RANK.EQ(CoreValuesResults[[#This Row],[Core Values Score]],CoreValuesResults[Core Values Score],0),NumberOfTeams),NumberOfTeams+1)</f>
        <v>1</v>
      </c>
      <c r="W21" s="57"/>
      <c r="X21" s="57"/>
      <c r="Y21" s="57"/>
    </row>
    <row r="22" spans="1:25" ht="30" customHeight="1" x14ac:dyDescent="0.3">
      <c r="A22" s="115"/>
      <c r="B22" s="116" t="str">
        <f>IF(ISNA(INDEX(OfficialTeamList[Team Name],MATCH(CoreValuesResults[[#This Row],[Team Number]], OfficialTeamList[Team Number],0))),"",INDEX(OfficialTeamList[Team Name],MATCH(CoreValuesResults[[#This Row],[Team Number]], OfficialTeamList[Team Number],0)))</f>
        <v/>
      </c>
      <c r="C22" s="118">
        <f>'Innovation Project Input'!D22</f>
        <v>0</v>
      </c>
      <c r="D22" s="118">
        <f>InnovationProjectResults[[#This Row],[Design - Teamwork (CV)]]</f>
        <v>0</v>
      </c>
      <c r="E22" s="118">
        <f>InnovationProjectResults[[#This Row],[Create - Innovation (CV)]]</f>
        <v>0</v>
      </c>
      <c r="F22" s="118">
        <f>InnovationProjectResults[[#This Row],[Communicate - Impact (CV)]]</f>
        <v>0</v>
      </c>
      <c r="G22" s="118">
        <f>InnovationProjectResults[[#This Row],[Communicate - Fun (CV)]]</f>
        <v>0</v>
      </c>
      <c r="H22" s="118">
        <f>'Robot Design Input'!D22</f>
        <v>0</v>
      </c>
      <c r="I22" s="118">
        <f>'Robot Design Input'!E22</f>
        <v>0</v>
      </c>
      <c r="J22" s="118">
        <f>RobotDesignResults[[#This Row],[Iterate - Improvements (CV)]]</f>
        <v>0</v>
      </c>
      <c r="K22" s="118">
        <f>RobotDesignResults[[#This Row],[Communicate - Impact (CV)]]</f>
        <v>0</v>
      </c>
      <c r="L22" s="118">
        <f>RobotDesignResults[[#This Row],[Communicate - Fun (CV)]]</f>
        <v>0</v>
      </c>
      <c r="M22" s="115"/>
      <c r="N22" s="115"/>
      <c r="O22" s="115"/>
      <c r="P22" s="115"/>
      <c r="Q22" s="115"/>
      <c r="R22" s="115" t="str">
        <f>IF(CoreValuesResults[[#This Row],[Gracious Professionalism 1]]="","",COUNTIF(CoreValuesResults[[#This Row],[Gracious Professionalism 1]:[Gracious Professionalism 5]],""))</f>
        <v/>
      </c>
      <c r="S22" s="115" t="str">
        <f>IF(CoreValuesResults[[#This Row],[Gracious Professionalism 1]]="","",SUM(CoreValuesResults[[#This Row],[Gracious Professionalism 1]:[Gracious Professionalism 5]]))</f>
        <v/>
      </c>
      <c r="T2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2" s="111">
        <f>SUM(CoreValuesResults[[#This Row],[Discovery (IP)]:[Fun (RD)]],CoreValuesResults[[#This Row],[Gracious Professionalism Score]])</f>
        <v>0</v>
      </c>
      <c r="V22" s="56">
        <f>IF(CoreValuesResults[[#This Row],[Team Number]]&gt;0,MIN(_xlfn.RANK.EQ(CoreValuesResults[[#This Row],[Core Values Score]],CoreValuesResults[Core Values Score],0),NumberOfTeams),NumberOfTeams+1)</f>
        <v>1</v>
      </c>
      <c r="W22" s="57"/>
      <c r="X22" s="57"/>
      <c r="Y22" s="57"/>
    </row>
    <row r="23" spans="1:25" ht="30" customHeight="1" x14ac:dyDescent="0.3">
      <c r="A23" s="115"/>
      <c r="B23" s="116" t="str">
        <f>IF(ISNA(INDEX(OfficialTeamList[Team Name],MATCH(CoreValuesResults[[#This Row],[Team Number]], OfficialTeamList[Team Number],0))),"",INDEX(OfficialTeamList[Team Name],MATCH(CoreValuesResults[[#This Row],[Team Number]], OfficialTeamList[Team Number],0)))</f>
        <v/>
      </c>
      <c r="C23" s="118">
        <f>'Innovation Project Input'!D23</f>
        <v>0</v>
      </c>
      <c r="D23" s="118">
        <f>InnovationProjectResults[[#This Row],[Design - Teamwork (CV)]]</f>
        <v>0</v>
      </c>
      <c r="E23" s="118">
        <f>InnovationProjectResults[[#This Row],[Create - Innovation (CV)]]</f>
        <v>0</v>
      </c>
      <c r="F23" s="118">
        <f>InnovationProjectResults[[#This Row],[Communicate - Impact (CV)]]</f>
        <v>0</v>
      </c>
      <c r="G23" s="118">
        <f>InnovationProjectResults[[#This Row],[Communicate - Fun (CV)]]</f>
        <v>0</v>
      </c>
      <c r="H23" s="118">
        <f>'Robot Design Input'!D23</f>
        <v>0</v>
      </c>
      <c r="I23" s="118">
        <f>'Robot Design Input'!E23</f>
        <v>0</v>
      </c>
      <c r="J23" s="118">
        <f>RobotDesignResults[[#This Row],[Iterate - Improvements (CV)]]</f>
        <v>0</v>
      </c>
      <c r="K23" s="118">
        <f>RobotDesignResults[[#This Row],[Communicate - Impact (CV)]]</f>
        <v>0</v>
      </c>
      <c r="L23" s="118">
        <f>RobotDesignResults[[#This Row],[Communicate - Fun (CV)]]</f>
        <v>0</v>
      </c>
      <c r="M23" s="115"/>
      <c r="N23" s="115"/>
      <c r="O23" s="115"/>
      <c r="P23" s="115"/>
      <c r="Q23" s="115"/>
      <c r="R23" s="115" t="str">
        <f>IF(CoreValuesResults[[#This Row],[Gracious Professionalism 1]]="","",COUNTIF(CoreValuesResults[[#This Row],[Gracious Professionalism 1]:[Gracious Professionalism 5]],""))</f>
        <v/>
      </c>
      <c r="S23" s="115" t="str">
        <f>IF(CoreValuesResults[[#This Row],[Gracious Professionalism 1]]="","",SUM(CoreValuesResults[[#This Row],[Gracious Professionalism 1]:[Gracious Professionalism 5]]))</f>
        <v/>
      </c>
      <c r="T2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3" s="111">
        <f>SUM(CoreValuesResults[[#This Row],[Discovery (IP)]:[Fun (RD)]],CoreValuesResults[[#This Row],[Gracious Professionalism Score]])</f>
        <v>0</v>
      </c>
      <c r="V23" s="56">
        <f>IF(CoreValuesResults[[#This Row],[Team Number]]&gt;0,MIN(_xlfn.RANK.EQ(CoreValuesResults[[#This Row],[Core Values Score]],CoreValuesResults[Core Values Score],0),NumberOfTeams),NumberOfTeams+1)</f>
        <v>1</v>
      </c>
      <c r="W23" s="57"/>
      <c r="X23" s="57"/>
      <c r="Y23" s="57"/>
    </row>
    <row r="24" spans="1:25" ht="30" customHeight="1" x14ac:dyDescent="0.3">
      <c r="A24" s="115"/>
      <c r="B24" s="116" t="str">
        <f>IF(ISNA(INDEX(OfficialTeamList[Team Name],MATCH(CoreValuesResults[[#This Row],[Team Number]], OfficialTeamList[Team Number],0))),"",INDEX(OfficialTeamList[Team Name],MATCH(CoreValuesResults[[#This Row],[Team Number]], OfficialTeamList[Team Number],0)))</f>
        <v/>
      </c>
      <c r="C24" s="118">
        <f>'Innovation Project Input'!D24</f>
        <v>0</v>
      </c>
      <c r="D24" s="118">
        <f>InnovationProjectResults[[#This Row],[Design - Teamwork (CV)]]</f>
        <v>0</v>
      </c>
      <c r="E24" s="118">
        <f>InnovationProjectResults[[#This Row],[Create - Innovation (CV)]]</f>
        <v>0</v>
      </c>
      <c r="F24" s="118">
        <f>InnovationProjectResults[[#This Row],[Communicate - Impact (CV)]]</f>
        <v>0</v>
      </c>
      <c r="G24" s="118">
        <f>InnovationProjectResults[[#This Row],[Communicate - Fun (CV)]]</f>
        <v>0</v>
      </c>
      <c r="H24" s="118">
        <f>'Robot Design Input'!D24</f>
        <v>0</v>
      </c>
      <c r="I24" s="118">
        <f>'Robot Design Input'!E24</f>
        <v>0</v>
      </c>
      <c r="J24" s="118">
        <f>RobotDesignResults[[#This Row],[Iterate - Improvements (CV)]]</f>
        <v>0</v>
      </c>
      <c r="K24" s="118">
        <f>RobotDesignResults[[#This Row],[Communicate - Impact (CV)]]</f>
        <v>0</v>
      </c>
      <c r="L24" s="118">
        <f>RobotDesignResults[[#This Row],[Communicate - Fun (CV)]]</f>
        <v>0</v>
      </c>
      <c r="M24" s="115"/>
      <c r="N24" s="115"/>
      <c r="O24" s="115"/>
      <c r="P24" s="115"/>
      <c r="Q24" s="115"/>
      <c r="R24" s="115" t="str">
        <f>IF(CoreValuesResults[[#This Row],[Gracious Professionalism 1]]="","",COUNTIF(CoreValuesResults[[#This Row],[Gracious Professionalism 1]:[Gracious Professionalism 5]],""))</f>
        <v/>
      </c>
      <c r="S24" s="115" t="str">
        <f>IF(CoreValuesResults[[#This Row],[Gracious Professionalism 1]]="","",SUM(CoreValuesResults[[#This Row],[Gracious Professionalism 1]:[Gracious Professionalism 5]]))</f>
        <v/>
      </c>
      <c r="T2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4" s="111">
        <f>SUM(CoreValuesResults[[#This Row],[Discovery (IP)]:[Fun (RD)]],CoreValuesResults[[#This Row],[Gracious Professionalism Score]])</f>
        <v>0</v>
      </c>
      <c r="V24" s="56">
        <f>IF(CoreValuesResults[[#This Row],[Team Number]]&gt;0,MIN(_xlfn.RANK.EQ(CoreValuesResults[[#This Row],[Core Values Score]],CoreValuesResults[Core Values Score],0),NumberOfTeams),NumberOfTeams+1)</f>
        <v>1</v>
      </c>
      <c r="W24" s="57"/>
      <c r="X24" s="57"/>
      <c r="Y24" s="57"/>
    </row>
    <row r="25" spans="1:25" ht="30" customHeight="1" x14ac:dyDescent="0.3">
      <c r="A25" s="115"/>
      <c r="B25" s="116" t="str">
        <f>IF(ISNA(INDEX(OfficialTeamList[Team Name],MATCH(CoreValuesResults[[#This Row],[Team Number]], OfficialTeamList[Team Number],0))),"",INDEX(OfficialTeamList[Team Name],MATCH(CoreValuesResults[[#This Row],[Team Number]], OfficialTeamList[Team Number],0)))</f>
        <v/>
      </c>
      <c r="C25" s="118">
        <f>'Innovation Project Input'!D25</f>
        <v>0</v>
      </c>
      <c r="D25" s="118">
        <f>InnovationProjectResults[[#This Row],[Design - Teamwork (CV)]]</f>
        <v>0</v>
      </c>
      <c r="E25" s="118">
        <f>InnovationProjectResults[[#This Row],[Create - Innovation (CV)]]</f>
        <v>0</v>
      </c>
      <c r="F25" s="118">
        <f>InnovationProjectResults[[#This Row],[Communicate - Impact (CV)]]</f>
        <v>0</v>
      </c>
      <c r="G25" s="118">
        <f>InnovationProjectResults[[#This Row],[Communicate - Fun (CV)]]</f>
        <v>0</v>
      </c>
      <c r="H25" s="118">
        <f>'Robot Design Input'!D25</f>
        <v>0</v>
      </c>
      <c r="I25" s="118">
        <f>'Robot Design Input'!E25</f>
        <v>0</v>
      </c>
      <c r="J25" s="118">
        <f>RobotDesignResults[[#This Row],[Iterate - Improvements (CV)]]</f>
        <v>0</v>
      </c>
      <c r="K25" s="118">
        <f>RobotDesignResults[[#This Row],[Communicate - Impact (CV)]]</f>
        <v>0</v>
      </c>
      <c r="L25" s="118">
        <f>RobotDesignResults[[#This Row],[Communicate - Fun (CV)]]</f>
        <v>0</v>
      </c>
      <c r="M25" s="115"/>
      <c r="N25" s="115"/>
      <c r="O25" s="115"/>
      <c r="P25" s="115"/>
      <c r="Q25" s="115"/>
      <c r="R25" s="115" t="str">
        <f>IF(CoreValuesResults[[#This Row],[Gracious Professionalism 1]]="","",COUNTIF(CoreValuesResults[[#This Row],[Gracious Professionalism 1]:[Gracious Professionalism 5]],""))</f>
        <v/>
      </c>
      <c r="S25" s="115" t="str">
        <f>IF(CoreValuesResults[[#This Row],[Gracious Professionalism 1]]="","",SUM(CoreValuesResults[[#This Row],[Gracious Professionalism 1]:[Gracious Professionalism 5]]))</f>
        <v/>
      </c>
      <c r="T2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5" s="111">
        <f>SUM(CoreValuesResults[[#This Row],[Discovery (IP)]:[Fun (RD)]],CoreValuesResults[[#This Row],[Gracious Professionalism Score]])</f>
        <v>0</v>
      </c>
      <c r="V25" s="56">
        <f>IF(CoreValuesResults[[#This Row],[Team Number]]&gt;0,MIN(_xlfn.RANK.EQ(CoreValuesResults[[#This Row],[Core Values Score]],CoreValuesResults[Core Values Score],0),NumberOfTeams),NumberOfTeams+1)</f>
        <v>1</v>
      </c>
      <c r="W25" s="57"/>
      <c r="X25" s="57"/>
      <c r="Y25" s="57"/>
    </row>
    <row r="26" spans="1:25" ht="30" customHeight="1" x14ac:dyDescent="0.3">
      <c r="A26" s="115"/>
      <c r="B26" s="116" t="str">
        <f>IF(ISNA(INDEX(OfficialTeamList[Team Name],MATCH(CoreValuesResults[[#This Row],[Team Number]], OfficialTeamList[Team Number],0))),"",INDEX(OfficialTeamList[Team Name],MATCH(CoreValuesResults[[#This Row],[Team Number]], OfficialTeamList[Team Number],0)))</f>
        <v/>
      </c>
      <c r="C26" s="118">
        <f>'Innovation Project Input'!D26</f>
        <v>0</v>
      </c>
      <c r="D26" s="118">
        <f>InnovationProjectResults[[#This Row],[Design - Teamwork (CV)]]</f>
        <v>0</v>
      </c>
      <c r="E26" s="118">
        <f>InnovationProjectResults[[#This Row],[Create - Innovation (CV)]]</f>
        <v>0</v>
      </c>
      <c r="F26" s="118">
        <f>InnovationProjectResults[[#This Row],[Communicate - Impact (CV)]]</f>
        <v>0</v>
      </c>
      <c r="G26" s="118">
        <f>InnovationProjectResults[[#This Row],[Communicate - Fun (CV)]]</f>
        <v>0</v>
      </c>
      <c r="H26" s="118">
        <f>'Robot Design Input'!D26</f>
        <v>0</v>
      </c>
      <c r="I26" s="118">
        <f>'Robot Design Input'!E26</f>
        <v>0</v>
      </c>
      <c r="J26" s="118">
        <f>RobotDesignResults[[#This Row],[Iterate - Improvements (CV)]]</f>
        <v>0</v>
      </c>
      <c r="K26" s="118">
        <f>RobotDesignResults[[#This Row],[Communicate - Impact (CV)]]</f>
        <v>0</v>
      </c>
      <c r="L26" s="118">
        <f>RobotDesignResults[[#This Row],[Communicate - Fun (CV)]]</f>
        <v>0</v>
      </c>
      <c r="M26" s="115"/>
      <c r="N26" s="115"/>
      <c r="O26" s="115"/>
      <c r="P26" s="115"/>
      <c r="Q26" s="115"/>
      <c r="R26" s="115" t="str">
        <f>IF(CoreValuesResults[[#This Row],[Gracious Professionalism 1]]="","",COUNTIF(CoreValuesResults[[#This Row],[Gracious Professionalism 1]:[Gracious Professionalism 5]],""))</f>
        <v/>
      </c>
      <c r="S26" s="115" t="str">
        <f>IF(CoreValuesResults[[#This Row],[Gracious Professionalism 1]]="","",SUM(CoreValuesResults[[#This Row],[Gracious Professionalism 1]:[Gracious Professionalism 5]]))</f>
        <v/>
      </c>
      <c r="T2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6" s="111">
        <f>SUM(CoreValuesResults[[#This Row],[Discovery (IP)]:[Fun (RD)]],CoreValuesResults[[#This Row],[Gracious Professionalism Score]])</f>
        <v>0</v>
      </c>
      <c r="V26" s="56">
        <f>IF(CoreValuesResults[[#This Row],[Team Number]]&gt;0,MIN(_xlfn.RANK.EQ(CoreValuesResults[[#This Row],[Core Values Score]],CoreValuesResults[Core Values Score],0),NumberOfTeams),NumberOfTeams+1)</f>
        <v>1</v>
      </c>
      <c r="W26" s="57"/>
      <c r="X26" s="57"/>
      <c r="Y26" s="57"/>
    </row>
    <row r="27" spans="1:25" ht="30" customHeight="1" x14ac:dyDescent="0.3">
      <c r="A27" s="115"/>
      <c r="B27" s="116" t="str">
        <f>IF(ISNA(INDEX(OfficialTeamList[Team Name],MATCH(CoreValuesResults[[#This Row],[Team Number]], OfficialTeamList[Team Number],0))),"",INDEX(OfficialTeamList[Team Name],MATCH(CoreValuesResults[[#This Row],[Team Number]], OfficialTeamList[Team Number],0)))</f>
        <v/>
      </c>
      <c r="C27" s="118">
        <f>'Innovation Project Input'!D27</f>
        <v>0</v>
      </c>
      <c r="D27" s="118">
        <f>InnovationProjectResults[[#This Row],[Design - Teamwork (CV)]]</f>
        <v>0</v>
      </c>
      <c r="E27" s="118">
        <f>InnovationProjectResults[[#This Row],[Create - Innovation (CV)]]</f>
        <v>0</v>
      </c>
      <c r="F27" s="118">
        <f>InnovationProjectResults[[#This Row],[Communicate - Impact (CV)]]</f>
        <v>0</v>
      </c>
      <c r="G27" s="118">
        <f>InnovationProjectResults[[#This Row],[Communicate - Fun (CV)]]</f>
        <v>0</v>
      </c>
      <c r="H27" s="118">
        <f>'Robot Design Input'!D27</f>
        <v>0</v>
      </c>
      <c r="I27" s="118">
        <f>'Robot Design Input'!E27</f>
        <v>0</v>
      </c>
      <c r="J27" s="118">
        <f>RobotDesignResults[[#This Row],[Iterate - Improvements (CV)]]</f>
        <v>0</v>
      </c>
      <c r="K27" s="118">
        <f>RobotDesignResults[[#This Row],[Communicate - Impact (CV)]]</f>
        <v>0</v>
      </c>
      <c r="L27" s="118">
        <f>RobotDesignResults[[#This Row],[Communicate - Fun (CV)]]</f>
        <v>0</v>
      </c>
      <c r="M27" s="115"/>
      <c r="N27" s="115"/>
      <c r="O27" s="115"/>
      <c r="P27" s="115"/>
      <c r="Q27" s="115"/>
      <c r="R27" s="115" t="str">
        <f>IF(CoreValuesResults[[#This Row],[Gracious Professionalism 1]]="","",COUNTIF(CoreValuesResults[[#This Row],[Gracious Professionalism 1]:[Gracious Professionalism 5]],""))</f>
        <v/>
      </c>
      <c r="S27" s="115" t="str">
        <f>IF(CoreValuesResults[[#This Row],[Gracious Professionalism 1]]="","",SUM(CoreValuesResults[[#This Row],[Gracious Professionalism 1]:[Gracious Professionalism 5]]))</f>
        <v/>
      </c>
      <c r="T2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7" s="111">
        <f>SUM(CoreValuesResults[[#This Row],[Discovery (IP)]:[Fun (RD)]],CoreValuesResults[[#This Row],[Gracious Professionalism Score]])</f>
        <v>0</v>
      </c>
      <c r="V27" s="56">
        <f>IF(CoreValuesResults[[#This Row],[Team Number]]&gt;0,MIN(_xlfn.RANK.EQ(CoreValuesResults[[#This Row],[Core Values Score]],CoreValuesResults[Core Values Score],0),NumberOfTeams),NumberOfTeams+1)</f>
        <v>1</v>
      </c>
      <c r="W27" s="57"/>
      <c r="X27" s="57"/>
      <c r="Y27" s="57"/>
    </row>
    <row r="28" spans="1:25" ht="30" customHeight="1" x14ac:dyDescent="0.3">
      <c r="A28" s="115"/>
      <c r="B28" s="116" t="str">
        <f>IF(ISNA(INDEX(OfficialTeamList[Team Name],MATCH(CoreValuesResults[[#This Row],[Team Number]], OfficialTeamList[Team Number],0))),"",INDEX(OfficialTeamList[Team Name],MATCH(CoreValuesResults[[#This Row],[Team Number]], OfficialTeamList[Team Number],0)))</f>
        <v/>
      </c>
      <c r="C28" s="118">
        <f>'Innovation Project Input'!D28</f>
        <v>0</v>
      </c>
      <c r="D28" s="118">
        <f>InnovationProjectResults[[#This Row],[Design - Teamwork (CV)]]</f>
        <v>0</v>
      </c>
      <c r="E28" s="118">
        <f>InnovationProjectResults[[#This Row],[Create - Innovation (CV)]]</f>
        <v>0</v>
      </c>
      <c r="F28" s="118">
        <f>InnovationProjectResults[[#This Row],[Communicate - Impact (CV)]]</f>
        <v>0</v>
      </c>
      <c r="G28" s="118">
        <f>InnovationProjectResults[[#This Row],[Communicate - Fun (CV)]]</f>
        <v>0</v>
      </c>
      <c r="H28" s="118">
        <f>'Robot Design Input'!D28</f>
        <v>0</v>
      </c>
      <c r="I28" s="118">
        <f>'Robot Design Input'!E28</f>
        <v>0</v>
      </c>
      <c r="J28" s="118">
        <f>RobotDesignResults[[#This Row],[Iterate - Improvements (CV)]]</f>
        <v>0</v>
      </c>
      <c r="K28" s="118">
        <f>RobotDesignResults[[#This Row],[Communicate - Impact (CV)]]</f>
        <v>0</v>
      </c>
      <c r="L28" s="118">
        <f>RobotDesignResults[[#This Row],[Communicate - Fun (CV)]]</f>
        <v>0</v>
      </c>
      <c r="M28" s="115"/>
      <c r="N28" s="115"/>
      <c r="O28" s="115"/>
      <c r="P28" s="115"/>
      <c r="Q28" s="115"/>
      <c r="R28" s="115" t="str">
        <f>IF(CoreValuesResults[[#This Row],[Gracious Professionalism 1]]="","",COUNTIF(CoreValuesResults[[#This Row],[Gracious Professionalism 1]:[Gracious Professionalism 5]],""))</f>
        <v/>
      </c>
      <c r="S28" s="115" t="str">
        <f>IF(CoreValuesResults[[#This Row],[Gracious Professionalism 1]]="","",SUM(CoreValuesResults[[#This Row],[Gracious Professionalism 1]:[Gracious Professionalism 5]]))</f>
        <v/>
      </c>
      <c r="T2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8" s="111">
        <f>SUM(CoreValuesResults[[#This Row],[Discovery (IP)]:[Fun (RD)]],CoreValuesResults[[#This Row],[Gracious Professionalism Score]])</f>
        <v>0</v>
      </c>
      <c r="V28" s="56">
        <f>IF(CoreValuesResults[[#This Row],[Team Number]]&gt;0,MIN(_xlfn.RANK.EQ(CoreValuesResults[[#This Row],[Core Values Score]],CoreValuesResults[Core Values Score],0),NumberOfTeams),NumberOfTeams+1)</f>
        <v>1</v>
      </c>
      <c r="W28" s="57"/>
      <c r="X28" s="57"/>
      <c r="Y28" s="57"/>
    </row>
    <row r="29" spans="1:25" ht="30" customHeight="1" x14ac:dyDescent="0.3">
      <c r="A29" s="115"/>
      <c r="B29" s="116" t="str">
        <f>IF(ISNA(INDEX(OfficialTeamList[Team Name],MATCH(CoreValuesResults[[#This Row],[Team Number]], OfficialTeamList[Team Number],0))),"",INDEX(OfficialTeamList[Team Name],MATCH(CoreValuesResults[[#This Row],[Team Number]], OfficialTeamList[Team Number],0)))</f>
        <v/>
      </c>
      <c r="C29" s="118">
        <f>'Innovation Project Input'!D29</f>
        <v>0</v>
      </c>
      <c r="D29" s="118">
        <f>InnovationProjectResults[[#This Row],[Design - Teamwork (CV)]]</f>
        <v>0</v>
      </c>
      <c r="E29" s="118">
        <f>InnovationProjectResults[[#This Row],[Create - Innovation (CV)]]</f>
        <v>0</v>
      </c>
      <c r="F29" s="118">
        <f>InnovationProjectResults[[#This Row],[Communicate - Impact (CV)]]</f>
        <v>0</v>
      </c>
      <c r="G29" s="118">
        <f>InnovationProjectResults[[#This Row],[Communicate - Fun (CV)]]</f>
        <v>0</v>
      </c>
      <c r="H29" s="118">
        <f>'Robot Design Input'!D29</f>
        <v>0</v>
      </c>
      <c r="I29" s="118">
        <f>'Robot Design Input'!E29</f>
        <v>0</v>
      </c>
      <c r="J29" s="118">
        <f>RobotDesignResults[[#This Row],[Iterate - Improvements (CV)]]</f>
        <v>0</v>
      </c>
      <c r="K29" s="118">
        <f>RobotDesignResults[[#This Row],[Communicate - Impact (CV)]]</f>
        <v>0</v>
      </c>
      <c r="L29" s="118">
        <f>RobotDesignResults[[#This Row],[Communicate - Fun (CV)]]</f>
        <v>0</v>
      </c>
      <c r="M29" s="115"/>
      <c r="N29" s="115"/>
      <c r="O29" s="115"/>
      <c r="P29" s="115"/>
      <c r="Q29" s="115"/>
      <c r="R29" s="115" t="str">
        <f>IF(CoreValuesResults[[#This Row],[Gracious Professionalism 1]]="","",COUNTIF(CoreValuesResults[[#This Row],[Gracious Professionalism 1]:[Gracious Professionalism 5]],""))</f>
        <v/>
      </c>
      <c r="S29" s="115" t="str">
        <f>IF(CoreValuesResults[[#This Row],[Gracious Professionalism 1]]="","",SUM(CoreValuesResults[[#This Row],[Gracious Professionalism 1]:[Gracious Professionalism 5]]))</f>
        <v/>
      </c>
      <c r="T2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9" s="111">
        <f>SUM(CoreValuesResults[[#This Row],[Discovery (IP)]:[Fun (RD)]],CoreValuesResults[[#This Row],[Gracious Professionalism Score]])</f>
        <v>0</v>
      </c>
      <c r="V29" s="56">
        <f>IF(CoreValuesResults[[#This Row],[Team Number]]&gt;0,MIN(_xlfn.RANK.EQ(CoreValuesResults[[#This Row],[Core Values Score]],CoreValuesResults[Core Values Score],0),NumberOfTeams),NumberOfTeams+1)</f>
        <v>1</v>
      </c>
      <c r="W29" s="57"/>
      <c r="X29" s="57"/>
      <c r="Y29" s="57"/>
    </row>
    <row r="30" spans="1:25" ht="30" customHeight="1" x14ac:dyDescent="0.3">
      <c r="A30" s="115"/>
      <c r="B30" s="116" t="str">
        <f>IF(ISNA(INDEX(OfficialTeamList[Team Name],MATCH(CoreValuesResults[[#This Row],[Team Number]], OfficialTeamList[Team Number],0))),"",INDEX(OfficialTeamList[Team Name],MATCH(CoreValuesResults[[#This Row],[Team Number]], OfficialTeamList[Team Number],0)))</f>
        <v/>
      </c>
      <c r="C30" s="118">
        <f>'Innovation Project Input'!D30</f>
        <v>0</v>
      </c>
      <c r="D30" s="118">
        <f>InnovationProjectResults[[#This Row],[Design - Teamwork (CV)]]</f>
        <v>0</v>
      </c>
      <c r="E30" s="118">
        <f>InnovationProjectResults[[#This Row],[Create - Innovation (CV)]]</f>
        <v>0</v>
      </c>
      <c r="F30" s="118">
        <f>InnovationProjectResults[[#This Row],[Communicate - Impact (CV)]]</f>
        <v>0</v>
      </c>
      <c r="G30" s="118">
        <f>InnovationProjectResults[[#This Row],[Communicate - Fun (CV)]]</f>
        <v>0</v>
      </c>
      <c r="H30" s="118">
        <f>'Robot Design Input'!D30</f>
        <v>0</v>
      </c>
      <c r="I30" s="118">
        <f>'Robot Design Input'!E30</f>
        <v>0</v>
      </c>
      <c r="J30" s="118">
        <f>RobotDesignResults[[#This Row],[Iterate - Improvements (CV)]]</f>
        <v>0</v>
      </c>
      <c r="K30" s="118">
        <f>RobotDesignResults[[#This Row],[Communicate - Impact (CV)]]</f>
        <v>0</v>
      </c>
      <c r="L30" s="118">
        <f>RobotDesignResults[[#This Row],[Communicate - Fun (CV)]]</f>
        <v>0</v>
      </c>
      <c r="M30" s="115"/>
      <c r="N30" s="115"/>
      <c r="O30" s="115"/>
      <c r="P30" s="115"/>
      <c r="Q30" s="115"/>
      <c r="R30" s="115" t="str">
        <f>IF(CoreValuesResults[[#This Row],[Gracious Professionalism 1]]="","",COUNTIF(CoreValuesResults[[#This Row],[Gracious Professionalism 1]:[Gracious Professionalism 5]],""))</f>
        <v/>
      </c>
      <c r="S30" s="115" t="str">
        <f>IF(CoreValuesResults[[#This Row],[Gracious Professionalism 1]]="","",SUM(CoreValuesResults[[#This Row],[Gracious Professionalism 1]:[Gracious Professionalism 5]]))</f>
        <v/>
      </c>
      <c r="T3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0" s="111">
        <f>SUM(CoreValuesResults[[#This Row],[Discovery (IP)]:[Fun (RD)]],CoreValuesResults[[#This Row],[Gracious Professionalism Score]])</f>
        <v>0</v>
      </c>
      <c r="V30" s="56">
        <f>IF(CoreValuesResults[[#This Row],[Team Number]]&gt;0,MIN(_xlfn.RANK.EQ(CoreValuesResults[[#This Row],[Core Values Score]],CoreValuesResults[Core Values Score],0),NumberOfTeams),NumberOfTeams+1)</f>
        <v>1</v>
      </c>
      <c r="W30" s="57"/>
      <c r="X30" s="57"/>
      <c r="Y30" s="57"/>
    </row>
    <row r="31" spans="1:25" ht="30" customHeight="1" x14ac:dyDescent="0.3">
      <c r="A31" s="115"/>
      <c r="B31" s="116" t="str">
        <f>IF(ISNA(INDEX(OfficialTeamList[Team Name],MATCH(CoreValuesResults[[#This Row],[Team Number]], OfficialTeamList[Team Number],0))),"",INDEX(OfficialTeamList[Team Name],MATCH(CoreValuesResults[[#This Row],[Team Number]], OfficialTeamList[Team Number],0)))</f>
        <v/>
      </c>
      <c r="C31" s="118">
        <f>'Innovation Project Input'!D31</f>
        <v>0</v>
      </c>
      <c r="D31" s="118">
        <f>InnovationProjectResults[[#This Row],[Design - Teamwork (CV)]]</f>
        <v>0</v>
      </c>
      <c r="E31" s="118">
        <f>InnovationProjectResults[[#This Row],[Create - Innovation (CV)]]</f>
        <v>0</v>
      </c>
      <c r="F31" s="118">
        <f>InnovationProjectResults[[#This Row],[Communicate - Impact (CV)]]</f>
        <v>0</v>
      </c>
      <c r="G31" s="118">
        <f>InnovationProjectResults[[#This Row],[Communicate - Fun (CV)]]</f>
        <v>0</v>
      </c>
      <c r="H31" s="118">
        <f>'Robot Design Input'!D31</f>
        <v>0</v>
      </c>
      <c r="I31" s="118">
        <f>'Robot Design Input'!E31</f>
        <v>0</v>
      </c>
      <c r="J31" s="118">
        <f>RobotDesignResults[[#This Row],[Iterate - Improvements (CV)]]</f>
        <v>0</v>
      </c>
      <c r="K31" s="118">
        <f>RobotDesignResults[[#This Row],[Communicate - Impact (CV)]]</f>
        <v>0</v>
      </c>
      <c r="L31" s="118">
        <f>RobotDesignResults[[#This Row],[Communicate - Fun (CV)]]</f>
        <v>0</v>
      </c>
      <c r="M31" s="115"/>
      <c r="N31" s="115"/>
      <c r="O31" s="115"/>
      <c r="P31" s="115"/>
      <c r="Q31" s="115"/>
      <c r="R31" s="115" t="str">
        <f>IF(CoreValuesResults[[#This Row],[Gracious Professionalism 1]]="","",COUNTIF(CoreValuesResults[[#This Row],[Gracious Professionalism 1]:[Gracious Professionalism 5]],""))</f>
        <v/>
      </c>
      <c r="S31" s="115" t="str">
        <f>IF(CoreValuesResults[[#This Row],[Gracious Professionalism 1]]="","",SUM(CoreValuesResults[[#This Row],[Gracious Professionalism 1]:[Gracious Professionalism 5]]))</f>
        <v/>
      </c>
      <c r="T3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1" s="111">
        <f>SUM(CoreValuesResults[[#This Row],[Discovery (IP)]:[Fun (RD)]],CoreValuesResults[[#This Row],[Gracious Professionalism Score]])</f>
        <v>0</v>
      </c>
      <c r="V31" s="56">
        <f>IF(CoreValuesResults[[#This Row],[Team Number]]&gt;0,MIN(_xlfn.RANK.EQ(CoreValuesResults[[#This Row],[Core Values Score]],CoreValuesResults[Core Values Score],0),NumberOfTeams),NumberOfTeams+1)</f>
        <v>1</v>
      </c>
      <c r="W31" s="57"/>
      <c r="X31" s="57"/>
      <c r="Y31" s="57"/>
    </row>
    <row r="32" spans="1:25" ht="30" customHeight="1" x14ac:dyDescent="0.3">
      <c r="A32" s="115"/>
      <c r="B32" s="116" t="str">
        <f>IF(ISNA(INDEX(OfficialTeamList[Team Name],MATCH(CoreValuesResults[[#This Row],[Team Number]], OfficialTeamList[Team Number],0))),"",INDEX(OfficialTeamList[Team Name],MATCH(CoreValuesResults[[#This Row],[Team Number]], OfficialTeamList[Team Number],0)))</f>
        <v/>
      </c>
      <c r="C32" s="118">
        <f>'Innovation Project Input'!D32</f>
        <v>0</v>
      </c>
      <c r="D32" s="118">
        <f>InnovationProjectResults[[#This Row],[Design - Teamwork (CV)]]</f>
        <v>0</v>
      </c>
      <c r="E32" s="118">
        <f>InnovationProjectResults[[#This Row],[Create - Innovation (CV)]]</f>
        <v>0</v>
      </c>
      <c r="F32" s="118">
        <f>InnovationProjectResults[[#This Row],[Communicate - Impact (CV)]]</f>
        <v>0</v>
      </c>
      <c r="G32" s="118">
        <f>InnovationProjectResults[[#This Row],[Communicate - Fun (CV)]]</f>
        <v>0</v>
      </c>
      <c r="H32" s="118">
        <f>'Robot Design Input'!D32</f>
        <v>0</v>
      </c>
      <c r="I32" s="118">
        <f>'Robot Design Input'!E32</f>
        <v>0</v>
      </c>
      <c r="J32" s="118">
        <f>RobotDesignResults[[#This Row],[Iterate - Improvements (CV)]]</f>
        <v>0</v>
      </c>
      <c r="K32" s="118">
        <f>RobotDesignResults[[#This Row],[Communicate - Impact (CV)]]</f>
        <v>0</v>
      </c>
      <c r="L32" s="118">
        <f>RobotDesignResults[[#This Row],[Communicate - Fun (CV)]]</f>
        <v>0</v>
      </c>
      <c r="M32" s="115"/>
      <c r="N32" s="115"/>
      <c r="O32" s="115"/>
      <c r="P32" s="115"/>
      <c r="Q32" s="115"/>
      <c r="R32" s="115" t="str">
        <f>IF(CoreValuesResults[[#This Row],[Gracious Professionalism 1]]="","",COUNTIF(CoreValuesResults[[#This Row],[Gracious Professionalism 1]:[Gracious Professionalism 5]],""))</f>
        <v/>
      </c>
      <c r="S32" s="115" t="str">
        <f>IF(CoreValuesResults[[#This Row],[Gracious Professionalism 1]]="","",SUM(CoreValuesResults[[#This Row],[Gracious Professionalism 1]:[Gracious Professionalism 5]]))</f>
        <v/>
      </c>
      <c r="T3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2" s="111">
        <f>SUM(CoreValuesResults[[#This Row],[Discovery (IP)]:[Fun (RD)]],CoreValuesResults[[#This Row],[Gracious Professionalism Score]])</f>
        <v>0</v>
      </c>
      <c r="V32" s="56">
        <f>IF(CoreValuesResults[[#This Row],[Team Number]]&gt;0,MIN(_xlfn.RANK.EQ(CoreValuesResults[[#This Row],[Core Values Score]],CoreValuesResults[Core Values Score],0),NumberOfTeams),NumberOfTeams+1)</f>
        <v>1</v>
      </c>
      <c r="W32" s="57"/>
      <c r="X32" s="57"/>
      <c r="Y32" s="57"/>
    </row>
    <row r="33" spans="1:25" ht="30" customHeight="1" x14ac:dyDescent="0.3">
      <c r="A33" s="115"/>
      <c r="B33" s="116" t="str">
        <f>IF(ISNA(INDEX(OfficialTeamList[Team Name],MATCH(CoreValuesResults[[#This Row],[Team Number]], OfficialTeamList[Team Number],0))),"",INDEX(OfficialTeamList[Team Name],MATCH(CoreValuesResults[[#This Row],[Team Number]], OfficialTeamList[Team Number],0)))</f>
        <v/>
      </c>
      <c r="C33" s="118">
        <f>'Innovation Project Input'!D33</f>
        <v>0</v>
      </c>
      <c r="D33" s="118">
        <f>InnovationProjectResults[[#This Row],[Design - Teamwork (CV)]]</f>
        <v>0</v>
      </c>
      <c r="E33" s="118">
        <f>InnovationProjectResults[[#This Row],[Create - Innovation (CV)]]</f>
        <v>0</v>
      </c>
      <c r="F33" s="118">
        <f>InnovationProjectResults[[#This Row],[Communicate - Impact (CV)]]</f>
        <v>0</v>
      </c>
      <c r="G33" s="118">
        <f>InnovationProjectResults[[#This Row],[Communicate - Fun (CV)]]</f>
        <v>0</v>
      </c>
      <c r="H33" s="118">
        <f>'Robot Design Input'!D33</f>
        <v>0</v>
      </c>
      <c r="I33" s="118">
        <f>'Robot Design Input'!E33</f>
        <v>0</v>
      </c>
      <c r="J33" s="118">
        <f>RobotDesignResults[[#This Row],[Iterate - Improvements (CV)]]</f>
        <v>0</v>
      </c>
      <c r="K33" s="118">
        <f>RobotDesignResults[[#This Row],[Communicate - Impact (CV)]]</f>
        <v>0</v>
      </c>
      <c r="L33" s="118">
        <f>RobotDesignResults[[#This Row],[Communicate - Fun (CV)]]</f>
        <v>0</v>
      </c>
      <c r="M33" s="115"/>
      <c r="N33" s="115"/>
      <c r="O33" s="115"/>
      <c r="P33" s="115"/>
      <c r="Q33" s="115"/>
      <c r="R33" s="115" t="str">
        <f>IF(CoreValuesResults[[#This Row],[Gracious Professionalism 1]]="","",COUNTIF(CoreValuesResults[[#This Row],[Gracious Professionalism 1]:[Gracious Professionalism 5]],""))</f>
        <v/>
      </c>
      <c r="S33" s="115" t="str">
        <f>IF(CoreValuesResults[[#This Row],[Gracious Professionalism 1]]="","",SUM(CoreValuesResults[[#This Row],[Gracious Professionalism 1]:[Gracious Professionalism 5]]))</f>
        <v/>
      </c>
      <c r="T3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3" s="111">
        <f>SUM(CoreValuesResults[[#This Row],[Discovery (IP)]:[Fun (RD)]],CoreValuesResults[[#This Row],[Gracious Professionalism Score]])</f>
        <v>0</v>
      </c>
      <c r="V33" s="56">
        <f>IF(CoreValuesResults[[#This Row],[Team Number]]&gt;0,MIN(_xlfn.RANK.EQ(CoreValuesResults[[#This Row],[Core Values Score]],CoreValuesResults[Core Values Score],0),NumberOfTeams),NumberOfTeams+1)</f>
        <v>1</v>
      </c>
      <c r="W33" s="57"/>
      <c r="X33" s="57"/>
      <c r="Y33" s="57"/>
    </row>
    <row r="34" spans="1:25" ht="30" customHeight="1" x14ac:dyDescent="0.3">
      <c r="A34" s="115"/>
      <c r="B34" s="116" t="str">
        <f>IF(ISNA(INDEX(OfficialTeamList[Team Name],MATCH(CoreValuesResults[[#This Row],[Team Number]], OfficialTeamList[Team Number],0))),"",INDEX(OfficialTeamList[Team Name],MATCH(CoreValuesResults[[#This Row],[Team Number]], OfficialTeamList[Team Number],0)))</f>
        <v/>
      </c>
      <c r="C34" s="118">
        <f>'Innovation Project Input'!D34</f>
        <v>0</v>
      </c>
      <c r="D34" s="118">
        <f>InnovationProjectResults[[#This Row],[Design - Teamwork (CV)]]</f>
        <v>0</v>
      </c>
      <c r="E34" s="118">
        <f>InnovationProjectResults[[#This Row],[Create - Innovation (CV)]]</f>
        <v>0</v>
      </c>
      <c r="F34" s="118">
        <f>InnovationProjectResults[[#This Row],[Communicate - Impact (CV)]]</f>
        <v>0</v>
      </c>
      <c r="G34" s="118">
        <f>InnovationProjectResults[[#This Row],[Communicate - Fun (CV)]]</f>
        <v>0</v>
      </c>
      <c r="H34" s="118">
        <f>'Robot Design Input'!D34</f>
        <v>0</v>
      </c>
      <c r="I34" s="118">
        <f>'Robot Design Input'!E34</f>
        <v>0</v>
      </c>
      <c r="J34" s="118">
        <f>RobotDesignResults[[#This Row],[Iterate - Improvements (CV)]]</f>
        <v>0</v>
      </c>
      <c r="K34" s="118">
        <f>RobotDesignResults[[#This Row],[Communicate - Impact (CV)]]</f>
        <v>0</v>
      </c>
      <c r="L34" s="118">
        <f>RobotDesignResults[[#This Row],[Communicate - Fun (CV)]]</f>
        <v>0</v>
      </c>
      <c r="M34" s="115"/>
      <c r="N34" s="115"/>
      <c r="O34" s="115"/>
      <c r="P34" s="115"/>
      <c r="Q34" s="115"/>
      <c r="R34" s="115" t="str">
        <f>IF(CoreValuesResults[[#This Row],[Gracious Professionalism 1]]="","",COUNTIF(CoreValuesResults[[#This Row],[Gracious Professionalism 1]:[Gracious Professionalism 5]],""))</f>
        <v/>
      </c>
      <c r="S34" s="115" t="str">
        <f>IF(CoreValuesResults[[#This Row],[Gracious Professionalism 1]]="","",SUM(CoreValuesResults[[#This Row],[Gracious Professionalism 1]:[Gracious Professionalism 5]]))</f>
        <v/>
      </c>
      <c r="T3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4" s="111">
        <f>SUM(CoreValuesResults[[#This Row],[Discovery (IP)]:[Fun (RD)]],CoreValuesResults[[#This Row],[Gracious Professionalism Score]])</f>
        <v>0</v>
      </c>
      <c r="V34" s="56">
        <f>IF(CoreValuesResults[[#This Row],[Team Number]]&gt;0,MIN(_xlfn.RANK.EQ(CoreValuesResults[[#This Row],[Core Values Score]],CoreValuesResults[Core Values Score],0),NumberOfTeams),NumberOfTeams+1)</f>
        <v>1</v>
      </c>
      <c r="W34" s="57"/>
      <c r="X34" s="57"/>
      <c r="Y34" s="57"/>
    </row>
    <row r="35" spans="1:25" ht="30" customHeight="1" x14ac:dyDescent="0.3">
      <c r="A35" s="115"/>
      <c r="B35" s="116" t="str">
        <f>IF(ISNA(INDEX(OfficialTeamList[Team Name],MATCH(CoreValuesResults[[#This Row],[Team Number]], OfficialTeamList[Team Number],0))),"",INDEX(OfficialTeamList[Team Name],MATCH(CoreValuesResults[[#This Row],[Team Number]], OfficialTeamList[Team Number],0)))</f>
        <v/>
      </c>
      <c r="C35" s="118">
        <f>'Innovation Project Input'!D35</f>
        <v>0</v>
      </c>
      <c r="D35" s="118">
        <f>InnovationProjectResults[[#This Row],[Design - Teamwork (CV)]]</f>
        <v>0</v>
      </c>
      <c r="E35" s="118">
        <f>InnovationProjectResults[[#This Row],[Create - Innovation (CV)]]</f>
        <v>0</v>
      </c>
      <c r="F35" s="118">
        <f>InnovationProjectResults[[#This Row],[Communicate - Impact (CV)]]</f>
        <v>0</v>
      </c>
      <c r="G35" s="118">
        <f>InnovationProjectResults[[#This Row],[Communicate - Fun (CV)]]</f>
        <v>0</v>
      </c>
      <c r="H35" s="118">
        <f>'Robot Design Input'!D35</f>
        <v>0</v>
      </c>
      <c r="I35" s="118">
        <f>'Robot Design Input'!E35</f>
        <v>0</v>
      </c>
      <c r="J35" s="118">
        <f>RobotDesignResults[[#This Row],[Iterate - Improvements (CV)]]</f>
        <v>0</v>
      </c>
      <c r="K35" s="118">
        <f>RobotDesignResults[[#This Row],[Communicate - Impact (CV)]]</f>
        <v>0</v>
      </c>
      <c r="L35" s="118">
        <f>RobotDesignResults[[#This Row],[Communicate - Fun (CV)]]</f>
        <v>0</v>
      </c>
      <c r="M35" s="115"/>
      <c r="N35" s="115"/>
      <c r="O35" s="115"/>
      <c r="P35" s="115"/>
      <c r="Q35" s="115"/>
      <c r="R35" s="115" t="str">
        <f>IF(CoreValuesResults[[#This Row],[Gracious Professionalism 1]]="","",COUNTIF(CoreValuesResults[[#This Row],[Gracious Professionalism 1]:[Gracious Professionalism 5]],""))</f>
        <v/>
      </c>
      <c r="S35" s="115" t="str">
        <f>IF(CoreValuesResults[[#This Row],[Gracious Professionalism 1]]="","",SUM(CoreValuesResults[[#This Row],[Gracious Professionalism 1]:[Gracious Professionalism 5]]))</f>
        <v/>
      </c>
      <c r="T3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5" s="111">
        <f>SUM(CoreValuesResults[[#This Row],[Discovery (IP)]:[Fun (RD)]],CoreValuesResults[[#This Row],[Gracious Professionalism Score]])</f>
        <v>0</v>
      </c>
      <c r="V35" s="56">
        <f>IF(CoreValuesResults[[#This Row],[Team Number]]&gt;0,MIN(_xlfn.RANK.EQ(CoreValuesResults[[#This Row],[Core Values Score]],CoreValuesResults[Core Values Score],0),NumberOfTeams),NumberOfTeams+1)</f>
        <v>1</v>
      </c>
      <c r="W35" s="57"/>
      <c r="X35" s="57"/>
      <c r="Y35" s="57"/>
    </row>
    <row r="36" spans="1:25" ht="30" customHeight="1" x14ac:dyDescent="0.3">
      <c r="A36" s="115"/>
      <c r="B36" s="116" t="str">
        <f>IF(ISNA(INDEX(OfficialTeamList[Team Name],MATCH(CoreValuesResults[[#This Row],[Team Number]], OfficialTeamList[Team Number],0))),"",INDEX(OfficialTeamList[Team Name],MATCH(CoreValuesResults[[#This Row],[Team Number]], OfficialTeamList[Team Number],0)))</f>
        <v/>
      </c>
      <c r="C36" s="118">
        <f>'Innovation Project Input'!D36</f>
        <v>0</v>
      </c>
      <c r="D36" s="118">
        <f>InnovationProjectResults[[#This Row],[Design - Teamwork (CV)]]</f>
        <v>0</v>
      </c>
      <c r="E36" s="118">
        <f>InnovationProjectResults[[#This Row],[Create - Innovation (CV)]]</f>
        <v>0</v>
      </c>
      <c r="F36" s="118">
        <f>InnovationProjectResults[[#This Row],[Communicate - Impact (CV)]]</f>
        <v>0</v>
      </c>
      <c r="G36" s="118">
        <f>InnovationProjectResults[[#This Row],[Communicate - Fun (CV)]]</f>
        <v>0</v>
      </c>
      <c r="H36" s="118">
        <f>'Robot Design Input'!D36</f>
        <v>0</v>
      </c>
      <c r="I36" s="118">
        <f>'Robot Design Input'!E36</f>
        <v>0</v>
      </c>
      <c r="J36" s="118">
        <f>RobotDesignResults[[#This Row],[Iterate - Improvements (CV)]]</f>
        <v>0</v>
      </c>
      <c r="K36" s="118">
        <f>RobotDesignResults[[#This Row],[Communicate - Impact (CV)]]</f>
        <v>0</v>
      </c>
      <c r="L36" s="118">
        <f>RobotDesignResults[[#This Row],[Communicate - Fun (CV)]]</f>
        <v>0</v>
      </c>
      <c r="M36" s="115"/>
      <c r="N36" s="115"/>
      <c r="O36" s="115"/>
      <c r="P36" s="115"/>
      <c r="Q36" s="115"/>
      <c r="R36" s="115" t="str">
        <f>IF(CoreValuesResults[[#This Row],[Gracious Professionalism 1]]="","",COUNTIF(CoreValuesResults[[#This Row],[Gracious Professionalism 1]:[Gracious Professionalism 5]],""))</f>
        <v/>
      </c>
      <c r="S36" s="115" t="str">
        <f>IF(CoreValuesResults[[#This Row],[Gracious Professionalism 1]]="","",SUM(CoreValuesResults[[#This Row],[Gracious Professionalism 1]:[Gracious Professionalism 5]]))</f>
        <v/>
      </c>
      <c r="T3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6" s="111">
        <f>SUM(CoreValuesResults[[#This Row],[Discovery (IP)]:[Fun (RD)]],CoreValuesResults[[#This Row],[Gracious Professionalism Score]])</f>
        <v>0</v>
      </c>
      <c r="V36" s="56">
        <f>IF(CoreValuesResults[[#This Row],[Team Number]]&gt;0,MIN(_xlfn.RANK.EQ(CoreValuesResults[[#This Row],[Core Values Score]],CoreValuesResults[Core Values Score],0),NumberOfTeams),NumberOfTeams+1)</f>
        <v>1</v>
      </c>
      <c r="W36" s="57"/>
      <c r="X36" s="57"/>
      <c r="Y36" s="57"/>
    </row>
    <row r="37" spans="1:25" ht="30" customHeight="1" x14ac:dyDescent="0.3">
      <c r="A37" s="115"/>
      <c r="B37" s="116" t="str">
        <f>IF(ISNA(INDEX(OfficialTeamList[Team Name],MATCH(CoreValuesResults[[#This Row],[Team Number]], OfficialTeamList[Team Number],0))),"",INDEX(OfficialTeamList[Team Name],MATCH(CoreValuesResults[[#This Row],[Team Number]], OfficialTeamList[Team Number],0)))</f>
        <v/>
      </c>
      <c r="C37" s="118">
        <f>'Innovation Project Input'!D37</f>
        <v>0</v>
      </c>
      <c r="D37" s="118">
        <f>InnovationProjectResults[[#This Row],[Design - Teamwork (CV)]]</f>
        <v>0</v>
      </c>
      <c r="E37" s="118">
        <f>InnovationProjectResults[[#This Row],[Create - Innovation (CV)]]</f>
        <v>0</v>
      </c>
      <c r="F37" s="118">
        <f>InnovationProjectResults[[#This Row],[Communicate - Impact (CV)]]</f>
        <v>0</v>
      </c>
      <c r="G37" s="118">
        <f>InnovationProjectResults[[#This Row],[Communicate - Fun (CV)]]</f>
        <v>0</v>
      </c>
      <c r="H37" s="118">
        <f>'Robot Design Input'!D37</f>
        <v>0</v>
      </c>
      <c r="I37" s="118">
        <f>'Robot Design Input'!E37</f>
        <v>0</v>
      </c>
      <c r="J37" s="118">
        <f>RobotDesignResults[[#This Row],[Iterate - Improvements (CV)]]</f>
        <v>0</v>
      </c>
      <c r="K37" s="118">
        <f>RobotDesignResults[[#This Row],[Communicate - Impact (CV)]]</f>
        <v>0</v>
      </c>
      <c r="L37" s="118">
        <f>RobotDesignResults[[#This Row],[Communicate - Fun (CV)]]</f>
        <v>0</v>
      </c>
      <c r="M37" s="115"/>
      <c r="N37" s="115"/>
      <c r="O37" s="115"/>
      <c r="P37" s="115"/>
      <c r="Q37" s="115"/>
      <c r="R37" s="115" t="str">
        <f>IF(CoreValuesResults[[#This Row],[Gracious Professionalism 1]]="","",COUNTIF(CoreValuesResults[[#This Row],[Gracious Professionalism 1]:[Gracious Professionalism 5]],""))</f>
        <v/>
      </c>
      <c r="S37" s="115" t="str">
        <f>IF(CoreValuesResults[[#This Row],[Gracious Professionalism 1]]="","",SUM(CoreValuesResults[[#This Row],[Gracious Professionalism 1]:[Gracious Professionalism 5]]))</f>
        <v/>
      </c>
      <c r="T3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7" s="111">
        <f>SUM(CoreValuesResults[[#This Row],[Discovery (IP)]:[Fun (RD)]],CoreValuesResults[[#This Row],[Gracious Professionalism Score]])</f>
        <v>0</v>
      </c>
      <c r="V37" s="56">
        <f>IF(CoreValuesResults[[#This Row],[Team Number]]&gt;0,MIN(_xlfn.RANK.EQ(CoreValuesResults[[#This Row],[Core Values Score]],CoreValuesResults[Core Values Score],0),NumberOfTeams),NumberOfTeams+1)</f>
        <v>1</v>
      </c>
      <c r="W37" s="57"/>
      <c r="X37" s="57"/>
      <c r="Y37" s="57"/>
    </row>
    <row r="38" spans="1:25" ht="30" customHeight="1" x14ac:dyDescent="0.3">
      <c r="A38" s="115"/>
      <c r="B38" s="116" t="str">
        <f>IF(ISNA(INDEX(OfficialTeamList[Team Name],MATCH(CoreValuesResults[[#This Row],[Team Number]], OfficialTeamList[Team Number],0))),"",INDEX(OfficialTeamList[Team Name],MATCH(CoreValuesResults[[#This Row],[Team Number]], OfficialTeamList[Team Number],0)))</f>
        <v/>
      </c>
      <c r="C38" s="118">
        <f>'Innovation Project Input'!D38</f>
        <v>0</v>
      </c>
      <c r="D38" s="118">
        <f>InnovationProjectResults[[#This Row],[Design - Teamwork (CV)]]</f>
        <v>0</v>
      </c>
      <c r="E38" s="118">
        <f>InnovationProjectResults[[#This Row],[Create - Innovation (CV)]]</f>
        <v>0</v>
      </c>
      <c r="F38" s="118">
        <f>InnovationProjectResults[[#This Row],[Communicate - Impact (CV)]]</f>
        <v>0</v>
      </c>
      <c r="G38" s="118">
        <f>InnovationProjectResults[[#This Row],[Communicate - Fun (CV)]]</f>
        <v>0</v>
      </c>
      <c r="H38" s="118">
        <f>'Robot Design Input'!D38</f>
        <v>0</v>
      </c>
      <c r="I38" s="118">
        <f>'Robot Design Input'!E38</f>
        <v>0</v>
      </c>
      <c r="J38" s="118">
        <f>RobotDesignResults[[#This Row],[Iterate - Improvements (CV)]]</f>
        <v>0</v>
      </c>
      <c r="K38" s="118">
        <f>RobotDesignResults[[#This Row],[Communicate - Impact (CV)]]</f>
        <v>0</v>
      </c>
      <c r="L38" s="118">
        <f>RobotDesignResults[[#This Row],[Communicate - Fun (CV)]]</f>
        <v>0</v>
      </c>
      <c r="M38" s="115"/>
      <c r="N38" s="115"/>
      <c r="O38" s="115"/>
      <c r="P38" s="115"/>
      <c r="Q38" s="115"/>
      <c r="R38" s="115" t="str">
        <f>IF(CoreValuesResults[[#This Row],[Gracious Professionalism 1]]="","",COUNTIF(CoreValuesResults[[#This Row],[Gracious Professionalism 1]:[Gracious Professionalism 5]],""))</f>
        <v/>
      </c>
      <c r="S38" s="115" t="str">
        <f>IF(CoreValuesResults[[#This Row],[Gracious Professionalism 1]]="","",SUM(CoreValuesResults[[#This Row],[Gracious Professionalism 1]:[Gracious Professionalism 5]]))</f>
        <v/>
      </c>
      <c r="T3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8" s="111">
        <f>SUM(CoreValuesResults[[#This Row],[Discovery (IP)]:[Fun (RD)]],CoreValuesResults[[#This Row],[Gracious Professionalism Score]])</f>
        <v>0</v>
      </c>
      <c r="V38" s="56">
        <f>IF(CoreValuesResults[[#This Row],[Team Number]]&gt;0,MIN(_xlfn.RANK.EQ(CoreValuesResults[[#This Row],[Core Values Score]],CoreValuesResults[Core Values Score],0),NumberOfTeams),NumberOfTeams+1)</f>
        <v>1</v>
      </c>
      <c r="W38" s="57"/>
      <c r="X38" s="57"/>
      <c r="Y38" s="57"/>
    </row>
    <row r="39" spans="1:25" ht="30" customHeight="1" x14ac:dyDescent="0.3">
      <c r="A39" s="115"/>
      <c r="B39" s="116" t="str">
        <f>IF(ISNA(INDEX(OfficialTeamList[Team Name],MATCH(CoreValuesResults[[#This Row],[Team Number]], OfficialTeamList[Team Number],0))),"",INDEX(OfficialTeamList[Team Name],MATCH(CoreValuesResults[[#This Row],[Team Number]], OfficialTeamList[Team Number],0)))</f>
        <v/>
      </c>
      <c r="C39" s="118">
        <f>'Innovation Project Input'!D39</f>
        <v>0</v>
      </c>
      <c r="D39" s="118">
        <f>InnovationProjectResults[[#This Row],[Design - Teamwork (CV)]]</f>
        <v>0</v>
      </c>
      <c r="E39" s="118">
        <f>InnovationProjectResults[[#This Row],[Create - Innovation (CV)]]</f>
        <v>0</v>
      </c>
      <c r="F39" s="118">
        <f>InnovationProjectResults[[#This Row],[Communicate - Impact (CV)]]</f>
        <v>0</v>
      </c>
      <c r="G39" s="118">
        <f>InnovationProjectResults[[#This Row],[Communicate - Fun (CV)]]</f>
        <v>0</v>
      </c>
      <c r="H39" s="118">
        <f>'Robot Design Input'!D39</f>
        <v>0</v>
      </c>
      <c r="I39" s="118">
        <f>'Robot Design Input'!E39</f>
        <v>0</v>
      </c>
      <c r="J39" s="118">
        <f>RobotDesignResults[[#This Row],[Iterate - Improvements (CV)]]</f>
        <v>0</v>
      </c>
      <c r="K39" s="118">
        <f>RobotDesignResults[[#This Row],[Communicate - Impact (CV)]]</f>
        <v>0</v>
      </c>
      <c r="L39" s="118">
        <f>RobotDesignResults[[#This Row],[Communicate - Fun (CV)]]</f>
        <v>0</v>
      </c>
      <c r="M39" s="115"/>
      <c r="N39" s="115"/>
      <c r="O39" s="115"/>
      <c r="P39" s="115"/>
      <c r="Q39" s="115"/>
      <c r="R39" s="115" t="str">
        <f>IF(CoreValuesResults[[#This Row],[Gracious Professionalism 1]]="","",COUNTIF(CoreValuesResults[[#This Row],[Gracious Professionalism 1]:[Gracious Professionalism 5]],""))</f>
        <v/>
      </c>
      <c r="S39" s="115" t="str">
        <f>IF(CoreValuesResults[[#This Row],[Gracious Professionalism 1]]="","",SUM(CoreValuesResults[[#This Row],[Gracious Professionalism 1]:[Gracious Professionalism 5]]))</f>
        <v/>
      </c>
      <c r="T3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9" s="111">
        <f>SUM(CoreValuesResults[[#This Row],[Discovery (IP)]:[Fun (RD)]],CoreValuesResults[[#This Row],[Gracious Professionalism Score]])</f>
        <v>0</v>
      </c>
      <c r="V39" s="56">
        <f>IF(CoreValuesResults[[#This Row],[Team Number]]&gt;0,MIN(_xlfn.RANK.EQ(CoreValuesResults[[#This Row],[Core Values Score]],CoreValuesResults[Core Values Score],0),NumberOfTeams),NumberOfTeams+1)</f>
        <v>1</v>
      </c>
      <c r="W39" s="57"/>
      <c r="X39" s="57"/>
      <c r="Y39" s="57"/>
    </row>
    <row r="40" spans="1:25" ht="30" customHeight="1" x14ac:dyDescent="0.3">
      <c r="A40" s="115"/>
      <c r="B40" s="116" t="str">
        <f>IF(ISNA(INDEX(OfficialTeamList[Team Name],MATCH(CoreValuesResults[[#This Row],[Team Number]], OfficialTeamList[Team Number],0))),"",INDEX(OfficialTeamList[Team Name],MATCH(CoreValuesResults[[#This Row],[Team Number]], OfficialTeamList[Team Number],0)))</f>
        <v/>
      </c>
      <c r="C40" s="118">
        <f>'Innovation Project Input'!D40</f>
        <v>0</v>
      </c>
      <c r="D40" s="118">
        <f>InnovationProjectResults[[#This Row],[Design - Teamwork (CV)]]</f>
        <v>0</v>
      </c>
      <c r="E40" s="118">
        <f>InnovationProjectResults[[#This Row],[Create - Innovation (CV)]]</f>
        <v>0</v>
      </c>
      <c r="F40" s="118">
        <f>InnovationProjectResults[[#This Row],[Communicate - Impact (CV)]]</f>
        <v>0</v>
      </c>
      <c r="G40" s="118">
        <f>InnovationProjectResults[[#This Row],[Communicate - Fun (CV)]]</f>
        <v>0</v>
      </c>
      <c r="H40" s="118">
        <f>'Robot Design Input'!D40</f>
        <v>0</v>
      </c>
      <c r="I40" s="118">
        <f>'Robot Design Input'!E40</f>
        <v>0</v>
      </c>
      <c r="J40" s="118">
        <f>RobotDesignResults[[#This Row],[Iterate - Improvements (CV)]]</f>
        <v>0</v>
      </c>
      <c r="K40" s="118">
        <f>RobotDesignResults[[#This Row],[Communicate - Impact (CV)]]</f>
        <v>0</v>
      </c>
      <c r="L40" s="118">
        <f>RobotDesignResults[[#This Row],[Communicate - Fun (CV)]]</f>
        <v>0</v>
      </c>
      <c r="M40" s="115"/>
      <c r="N40" s="115"/>
      <c r="O40" s="115"/>
      <c r="P40" s="115"/>
      <c r="Q40" s="115"/>
      <c r="R40" s="115" t="str">
        <f>IF(CoreValuesResults[[#This Row],[Gracious Professionalism 1]]="","",COUNTIF(CoreValuesResults[[#This Row],[Gracious Professionalism 1]:[Gracious Professionalism 5]],""))</f>
        <v/>
      </c>
      <c r="S40" s="115" t="str">
        <f>IF(CoreValuesResults[[#This Row],[Gracious Professionalism 1]]="","",SUM(CoreValuesResults[[#This Row],[Gracious Professionalism 1]:[Gracious Professionalism 5]]))</f>
        <v/>
      </c>
      <c r="T4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0" s="111">
        <f>SUM(CoreValuesResults[[#This Row],[Discovery (IP)]:[Fun (RD)]],CoreValuesResults[[#This Row],[Gracious Professionalism Score]])</f>
        <v>0</v>
      </c>
      <c r="V40" s="56">
        <f>IF(CoreValuesResults[[#This Row],[Team Number]]&gt;0,MIN(_xlfn.RANK.EQ(CoreValuesResults[[#This Row],[Core Values Score]],CoreValuesResults[Core Values Score],0),NumberOfTeams),NumberOfTeams+1)</f>
        <v>1</v>
      </c>
      <c r="W40" s="57"/>
      <c r="X40" s="57"/>
      <c r="Y40" s="57"/>
    </row>
    <row r="41" spans="1:25" ht="30" customHeight="1" x14ac:dyDescent="0.3">
      <c r="A41" s="115"/>
      <c r="B41" s="116" t="str">
        <f>IF(ISNA(INDEX(OfficialTeamList[Team Name],MATCH(CoreValuesResults[[#This Row],[Team Number]], OfficialTeamList[Team Number],0))),"",INDEX(OfficialTeamList[Team Name],MATCH(CoreValuesResults[[#This Row],[Team Number]], OfficialTeamList[Team Number],0)))</f>
        <v/>
      </c>
      <c r="C41" s="118">
        <f>'Innovation Project Input'!D41</f>
        <v>0</v>
      </c>
      <c r="D41" s="118">
        <f>InnovationProjectResults[[#This Row],[Design - Teamwork (CV)]]</f>
        <v>0</v>
      </c>
      <c r="E41" s="118">
        <f>InnovationProjectResults[[#This Row],[Create - Innovation (CV)]]</f>
        <v>0</v>
      </c>
      <c r="F41" s="118">
        <f>InnovationProjectResults[[#This Row],[Communicate - Impact (CV)]]</f>
        <v>0</v>
      </c>
      <c r="G41" s="118">
        <f>InnovationProjectResults[[#This Row],[Communicate - Fun (CV)]]</f>
        <v>0</v>
      </c>
      <c r="H41" s="118">
        <f>'Robot Design Input'!D41</f>
        <v>0</v>
      </c>
      <c r="I41" s="118">
        <f>'Robot Design Input'!E41</f>
        <v>0</v>
      </c>
      <c r="J41" s="118">
        <f>RobotDesignResults[[#This Row],[Iterate - Improvements (CV)]]</f>
        <v>0</v>
      </c>
      <c r="K41" s="118">
        <f>RobotDesignResults[[#This Row],[Communicate - Impact (CV)]]</f>
        <v>0</v>
      </c>
      <c r="L41" s="118">
        <f>RobotDesignResults[[#This Row],[Communicate - Fun (CV)]]</f>
        <v>0</v>
      </c>
      <c r="M41" s="115"/>
      <c r="N41" s="115"/>
      <c r="O41" s="115"/>
      <c r="P41" s="115"/>
      <c r="Q41" s="115"/>
      <c r="R41" s="115" t="str">
        <f>IF(CoreValuesResults[[#This Row],[Gracious Professionalism 1]]="","",COUNTIF(CoreValuesResults[[#This Row],[Gracious Professionalism 1]:[Gracious Professionalism 5]],""))</f>
        <v/>
      </c>
      <c r="S41" s="115" t="str">
        <f>IF(CoreValuesResults[[#This Row],[Gracious Professionalism 1]]="","",SUM(CoreValuesResults[[#This Row],[Gracious Professionalism 1]:[Gracious Professionalism 5]]))</f>
        <v/>
      </c>
      <c r="T4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1" s="111">
        <f>SUM(CoreValuesResults[[#This Row],[Discovery (IP)]:[Fun (RD)]],CoreValuesResults[[#This Row],[Gracious Professionalism Score]])</f>
        <v>0</v>
      </c>
      <c r="V41" s="56">
        <f>IF(CoreValuesResults[[#This Row],[Team Number]]&gt;0,MIN(_xlfn.RANK.EQ(CoreValuesResults[[#This Row],[Core Values Score]],CoreValuesResults[Core Values Score],0),NumberOfTeams),NumberOfTeams+1)</f>
        <v>1</v>
      </c>
      <c r="W41" s="57"/>
      <c r="X41" s="57"/>
      <c r="Y41" s="57"/>
    </row>
    <row r="42" spans="1:25" ht="30" customHeight="1" x14ac:dyDescent="0.3">
      <c r="A42" s="115"/>
      <c r="B42" s="116" t="str">
        <f>IF(ISNA(INDEX(OfficialTeamList[Team Name],MATCH(CoreValuesResults[[#This Row],[Team Number]], OfficialTeamList[Team Number],0))),"",INDEX(OfficialTeamList[Team Name],MATCH(CoreValuesResults[[#This Row],[Team Number]], OfficialTeamList[Team Number],0)))</f>
        <v/>
      </c>
      <c r="C42" s="118">
        <f>'Innovation Project Input'!D42</f>
        <v>0</v>
      </c>
      <c r="D42" s="118">
        <f>InnovationProjectResults[[#This Row],[Design - Teamwork (CV)]]</f>
        <v>0</v>
      </c>
      <c r="E42" s="118">
        <f>InnovationProjectResults[[#This Row],[Create - Innovation (CV)]]</f>
        <v>0</v>
      </c>
      <c r="F42" s="118">
        <f>InnovationProjectResults[[#This Row],[Communicate - Impact (CV)]]</f>
        <v>0</v>
      </c>
      <c r="G42" s="118">
        <f>InnovationProjectResults[[#This Row],[Communicate - Fun (CV)]]</f>
        <v>0</v>
      </c>
      <c r="H42" s="118">
        <f>'Robot Design Input'!D42</f>
        <v>0</v>
      </c>
      <c r="I42" s="118">
        <f>'Robot Design Input'!E42</f>
        <v>0</v>
      </c>
      <c r="J42" s="118">
        <f>RobotDesignResults[[#This Row],[Iterate - Improvements (CV)]]</f>
        <v>0</v>
      </c>
      <c r="K42" s="118">
        <f>RobotDesignResults[[#This Row],[Communicate - Impact (CV)]]</f>
        <v>0</v>
      </c>
      <c r="L42" s="118">
        <f>RobotDesignResults[[#This Row],[Communicate - Fun (CV)]]</f>
        <v>0</v>
      </c>
      <c r="M42" s="115"/>
      <c r="N42" s="115"/>
      <c r="O42" s="115"/>
      <c r="P42" s="115"/>
      <c r="Q42" s="115"/>
      <c r="R42" s="115" t="str">
        <f>IF(CoreValuesResults[[#This Row],[Gracious Professionalism 1]]="","",COUNTIF(CoreValuesResults[[#This Row],[Gracious Professionalism 1]:[Gracious Professionalism 5]],""))</f>
        <v/>
      </c>
      <c r="S42" s="115" t="str">
        <f>IF(CoreValuesResults[[#This Row],[Gracious Professionalism 1]]="","",SUM(CoreValuesResults[[#This Row],[Gracious Professionalism 1]:[Gracious Professionalism 5]]))</f>
        <v/>
      </c>
      <c r="T4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2" s="111">
        <f>SUM(CoreValuesResults[[#This Row],[Discovery (IP)]:[Fun (RD)]],CoreValuesResults[[#This Row],[Gracious Professionalism Score]])</f>
        <v>0</v>
      </c>
      <c r="V42" s="56">
        <f>IF(CoreValuesResults[[#This Row],[Team Number]]&gt;0,MIN(_xlfn.RANK.EQ(CoreValuesResults[[#This Row],[Core Values Score]],CoreValuesResults[Core Values Score],0),NumberOfTeams),NumberOfTeams+1)</f>
        <v>1</v>
      </c>
      <c r="W42" s="57"/>
      <c r="X42" s="57"/>
      <c r="Y42" s="57"/>
    </row>
    <row r="43" spans="1:25" ht="30" customHeight="1" x14ac:dyDescent="0.3">
      <c r="A43" s="115"/>
      <c r="B43" s="116" t="str">
        <f>IF(ISNA(INDEX(OfficialTeamList[Team Name],MATCH(CoreValuesResults[[#This Row],[Team Number]], OfficialTeamList[Team Number],0))),"",INDEX(OfficialTeamList[Team Name],MATCH(CoreValuesResults[[#This Row],[Team Number]], OfficialTeamList[Team Number],0)))</f>
        <v/>
      </c>
      <c r="C43" s="118">
        <f>'Innovation Project Input'!D43</f>
        <v>0</v>
      </c>
      <c r="D43" s="118">
        <f>InnovationProjectResults[[#This Row],[Design - Teamwork (CV)]]</f>
        <v>0</v>
      </c>
      <c r="E43" s="118">
        <f>InnovationProjectResults[[#This Row],[Create - Innovation (CV)]]</f>
        <v>0</v>
      </c>
      <c r="F43" s="118">
        <f>InnovationProjectResults[[#This Row],[Communicate - Impact (CV)]]</f>
        <v>0</v>
      </c>
      <c r="G43" s="118">
        <f>InnovationProjectResults[[#This Row],[Communicate - Fun (CV)]]</f>
        <v>0</v>
      </c>
      <c r="H43" s="118">
        <f>'Robot Design Input'!D43</f>
        <v>0</v>
      </c>
      <c r="I43" s="118">
        <f>'Robot Design Input'!E43</f>
        <v>0</v>
      </c>
      <c r="J43" s="118">
        <f>RobotDesignResults[[#This Row],[Iterate - Improvements (CV)]]</f>
        <v>0</v>
      </c>
      <c r="K43" s="118">
        <f>RobotDesignResults[[#This Row],[Communicate - Impact (CV)]]</f>
        <v>0</v>
      </c>
      <c r="L43" s="118">
        <f>RobotDesignResults[[#This Row],[Communicate - Fun (CV)]]</f>
        <v>0</v>
      </c>
      <c r="M43" s="115"/>
      <c r="N43" s="115"/>
      <c r="O43" s="115"/>
      <c r="P43" s="115"/>
      <c r="Q43" s="115"/>
      <c r="R43" s="115" t="str">
        <f>IF(CoreValuesResults[[#This Row],[Gracious Professionalism 1]]="","",COUNTIF(CoreValuesResults[[#This Row],[Gracious Professionalism 1]:[Gracious Professionalism 5]],""))</f>
        <v/>
      </c>
      <c r="S43" s="115" t="str">
        <f>IF(CoreValuesResults[[#This Row],[Gracious Professionalism 1]]="","",SUM(CoreValuesResults[[#This Row],[Gracious Professionalism 1]:[Gracious Professionalism 5]]))</f>
        <v/>
      </c>
      <c r="T4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3" s="111">
        <f>SUM(CoreValuesResults[[#This Row],[Discovery (IP)]:[Fun (RD)]],CoreValuesResults[[#This Row],[Gracious Professionalism Score]])</f>
        <v>0</v>
      </c>
      <c r="V43" s="56">
        <f>IF(CoreValuesResults[[#This Row],[Team Number]]&gt;0,MIN(_xlfn.RANK.EQ(CoreValuesResults[[#This Row],[Core Values Score]],CoreValuesResults[Core Values Score],0),NumberOfTeams),NumberOfTeams+1)</f>
        <v>1</v>
      </c>
      <c r="W43" s="57"/>
      <c r="X43" s="57"/>
      <c r="Y43" s="57"/>
    </row>
    <row r="44" spans="1:25" ht="30" customHeight="1" x14ac:dyDescent="0.3">
      <c r="A44" s="115"/>
      <c r="B44" s="116" t="str">
        <f>IF(ISNA(INDEX(OfficialTeamList[Team Name],MATCH(CoreValuesResults[[#This Row],[Team Number]], OfficialTeamList[Team Number],0))),"",INDEX(OfficialTeamList[Team Name],MATCH(CoreValuesResults[[#This Row],[Team Number]], OfficialTeamList[Team Number],0)))</f>
        <v/>
      </c>
      <c r="C44" s="118">
        <f>'Innovation Project Input'!D44</f>
        <v>0</v>
      </c>
      <c r="D44" s="118">
        <f>InnovationProjectResults[[#This Row],[Design - Teamwork (CV)]]</f>
        <v>0</v>
      </c>
      <c r="E44" s="118">
        <f>InnovationProjectResults[[#This Row],[Create - Innovation (CV)]]</f>
        <v>0</v>
      </c>
      <c r="F44" s="118">
        <f>InnovationProjectResults[[#This Row],[Communicate - Impact (CV)]]</f>
        <v>0</v>
      </c>
      <c r="G44" s="118">
        <f>InnovationProjectResults[[#This Row],[Communicate - Fun (CV)]]</f>
        <v>0</v>
      </c>
      <c r="H44" s="118">
        <f>'Robot Design Input'!D44</f>
        <v>0</v>
      </c>
      <c r="I44" s="118">
        <f>'Robot Design Input'!E44</f>
        <v>0</v>
      </c>
      <c r="J44" s="118">
        <f>RobotDesignResults[[#This Row],[Iterate - Improvements (CV)]]</f>
        <v>0</v>
      </c>
      <c r="K44" s="118">
        <f>RobotDesignResults[[#This Row],[Communicate - Impact (CV)]]</f>
        <v>0</v>
      </c>
      <c r="L44" s="118">
        <f>RobotDesignResults[[#This Row],[Communicate - Fun (CV)]]</f>
        <v>0</v>
      </c>
      <c r="M44" s="115"/>
      <c r="N44" s="115"/>
      <c r="O44" s="115"/>
      <c r="P44" s="115"/>
      <c r="Q44" s="115"/>
      <c r="R44" s="115" t="str">
        <f>IF(CoreValuesResults[[#This Row],[Gracious Professionalism 1]]="","",COUNTIF(CoreValuesResults[[#This Row],[Gracious Professionalism 1]:[Gracious Professionalism 5]],""))</f>
        <v/>
      </c>
      <c r="S44" s="115" t="str">
        <f>IF(CoreValuesResults[[#This Row],[Gracious Professionalism 1]]="","",SUM(CoreValuesResults[[#This Row],[Gracious Professionalism 1]:[Gracious Professionalism 5]]))</f>
        <v/>
      </c>
      <c r="T4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4" s="111">
        <f>SUM(CoreValuesResults[[#This Row],[Discovery (IP)]:[Fun (RD)]],CoreValuesResults[[#This Row],[Gracious Professionalism Score]])</f>
        <v>0</v>
      </c>
      <c r="V44" s="56">
        <f>IF(CoreValuesResults[[#This Row],[Team Number]]&gt;0,MIN(_xlfn.RANK.EQ(CoreValuesResults[[#This Row],[Core Values Score]],CoreValuesResults[Core Values Score],0),NumberOfTeams),NumberOfTeams+1)</f>
        <v>1</v>
      </c>
      <c r="W44" s="57"/>
      <c r="X44" s="57"/>
      <c r="Y44" s="57"/>
    </row>
    <row r="45" spans="1:25" ht="30" customHeight="1" x14ac:dyDescent="0.3">
      <c r="A45" s="115"/>
      <c r="B45" s="116" t="str">
        <f>IF(ISNA(INDEX(OfficialTeamList[Team Name],MATCH(CoreValuesResults[[#This Row],[Team Number]], OfficialTeamList[Team Number],0))),"",INDEX(OfficialTeamList[Team Name],MATCH(CoreValuesResults[[#This Row],[Team Number]], OfficialTeamList[Team Number],0)))</f>
        <v/>
      </c>
      <c r="C45" s="118">
        <f>'Innovation Project Input'!D45</f>
        <v>0</v>
      </c>
      <c r="D45" s="118">
        <f>InnovationProjectResults[[#This Row],[Design - Teamwork (CV)]]</f>
        <v>0</v>
      </c>
      <c r="E45" s="118">
        <f>InnovationProjectResults[[#This Row],[Create - Innovation (CV)]]</f>
        <v>0</v>
      </c>
      <c r="F45" s="118">
        <f>InnovationProjectResults[[#This Row],[Communicate - Impact (CV)]]</f>
        <v>0</v>
      </c>
      <c r="G45" s="118">
        <f>InnovationProjectResults[[#This Row],[Communicate - Fun (CV)]]</f>
        <v>0</v>
      </c>
      <c r="H45" s="118">
        <f>'Robot Design Input'!D45</f>
        <v>0</v>
      </c>
      <c r="I45" s="118">
        <f>'Robot Design Input'!E45</f>
        <v>0</v>
      </c>
      <c r="J45" s="118">
        <f>RobotDesignResults[[#This Row],[Iterate - Improvements (CV)]]</f>
        <v>0</v>
      </c>
      <c r="K45" s="118">
        <f>RobotDesignResults[[#This Row],[Communicate - Impact (CV)]]</f>
        <v>0</v>
      </c>
      <c r="L45" s="118">
        <f>RobotDesignResults[[#This Row],[Communicate - Fun (CV)]]</f>
        <v>0</v>
      </c>
      <c r="M45" s="115"/>
      <c r="N45" s="115"/>
      <c r="O45" s="115"/>
      <c r="P45" s="115"/>
      <c r="Q45" s="115"/>
      <c r="R45" s="115" t="str">
        <f>IF(CoreValuesResults[[#This Row],[Gracious Professionalism 1]]="","",COUNTIF(CoreValuesResults[[#This Row],[Gracious Professionalism 1]:[Gracious Professionalism 5]],""))</f>
        <v/>
      </c>
      <c r="S45" s="115" t="str">
        <f>IF(CoreValuesResults[[#This Row],[Gracious Professionalism 1]]="","",SUM(CoreValuesResults[[#This Row],[Gracious Professionalism 1]:[Gracious Professionalism 5]]))</f>
        <v/>
      </c>
      <c r="T4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5" s="111">
        <f>SUM(CoreValuesResults[[#This Row],[Discovery (IP)]:[Fun (RD)]],CoreValuesResults[[#This Row],[Gracious Professionalism Score]])</f>
        <v>0</v>
      </c>
      <c r="V45" s="56">
        <f>IF(CoreValuesResults[[#This Row],[Team Number]]&gt;0,MIN(_xlfn.RANK.EQ(CoreValuesResults[[#This Row],[Core Values Score]],CoreValuesResults[Core Values Score],0),NumberOfTeams),NumberOfTeams+1)</f>
        <v>1</v>
      </c>
      <c r="W45" s="57"/>
      <c r="X45" s="57"/>
      <c r="Y45" s="57"/>
    </row>
    <row r="46" spans="1:25" ht="30" customHeight="1" x14ac:dyDescent="0.3">
      <c r="A46" s="115"/>
      <c r="B46" s="116" t="str">
        <f>IF(ISNA(INDEX(OfficialTeamList[Team Name],MATCH(CoreValuesResults[[#This Row],[Team Number]], OfficialTeamList[Team Number],0))),"",INDEX(OfficialTeamList[Team Name],MATCH(CoreValuesResults[[#This Row],[Team Number]], OfficialTeamList[Team Number],0)))</f>
        <v/>
      </c>
      <c r="C46" s="118">
        <f>'Innovation Project Input'!D46</f>
        <v>0</v>
      </c>
      <c r="D46" s="118">
        <f>InnovationProjectResults[[#This Row],[Design - Teamwork (CV)]]</f>
        <v>0</v>
      </c>
      <c r="E46" s="118">
        <f>InnovationProjectResults[[#This Row],[Create - Innovation (CV)]]</f>
        <v>0</v>
      </c>
      <c r="F46" s="118">
        <f>InnovationProjectResults[[#This Row],[Communicate - Impact (CV)]]</f>
        <v>0</v>
      </c>
      <c r="G46" s="118">
        <f>InnovationProjectResults[[#This Row],[Communicate - Fun (CV)]]</f>
        <v>0</v>
      </c>
      <c r="H46" s="118">
        <f>'Robot Design Input'!D46</f>
        <v>0</v>
      </c>
      <c r="I46" s="118">
        <f>'Robot Design Input'!E46</f>
        <v>0</v>
      </c>
      <c r="J46" s="118">
        <f>RobotDesignResults[[#This Row],[Iterate - Improvements (CV)]]</f>
        <v>0</v>
      </c>
      <c r="K46" s="118">
        <f>RobotDesignResults[[#This Row],[Communicate - Impact (CV)]]</f>
        <v>0</v>
      </c>
      <c r="L46" s="118">
        <f>RobotDesignResults[[#This Row],[Communicate - Fun (CV)]]</f>
        <v>0</v>
      </c>
      <c r="M46" s="115"/>
      <c r="N46" s="115"/>
      <c r="O46" s="115"/>
      <c r="P46" s="115"/>
      <c r="Q46" s="115"/>
      <c r="R46" s="115" t="str">
        <f>IF(CoreValuesResults[[#This Row],[Gracious Professionalism 1]]="","",COUNTIF(CoreValuesResults[[#This Row],[Gracious Professionalism 1]:[Gracious Professionalism 5]],""))</f>
        <v/>
      </c>
      <c r="S46" s="115" t="str">
        <f>IF(CoreValuesResults[[#This Row],[Gracious Professionalism 1]]="","",SUM(CoreValuesResults[[#This Row],[Gracious Professionalism 1]:[Gracious Professionalism 5]]))</f>
        <v/>
      </c>
      <c r="T4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6" s="111">
        <f>SUM(CoreValuesResults[[#This Row],[Discovery (IP)]:[Fun (RD)]],CoreValuesResults[[#This Row],[Gracious Professionalism Score]])</f>
        <v>0</v>
      </c>
      <c r="V46" s="56">
        <f>IF(CoreValuesResults[[#This Row],[Team Number]]&gt;0,MIN(_xlfn.RANK.EQ(CoreValuesResults[[#This Row],[Core Values Score]],CoreValuesResults[Core Values Score],0),NumberOfTeams),NumberOfTeams+1)</f>
        <v>1</v>
      </c>
      <c r="W46" s="57"/>
      <c r="X46" s="57"/>
      <c r="Y46" s="57"/>
    </row>
    <row r="47" spans="1:25" ht="30" customHeight="1" x14ac:dyDescent="0.3">
      <c r="A47" s="115"/>
      <c r="B47" s="116" t="str">
        <f>IF(ISNA(INDEX(OfficialTeamList[Team Name],MATCH(CoreValuesResults[[#This Row],[Team Number]], OfficialTeamList[Team Number],0))),"",INDEX(OfficialTeamList[Team Name],MATCH(CoreValuesResults[[#This Row],[Team Number]], OfficialTeamList[Team Number],0)))</f>
        <v/>
      </c>
      <c r="C47" s="118">
        <f>'Innovation Project Input'!D47</f>
        <v>0</v>
      </c>
      <c r="D47" s="118">
        <f>InnovationProjectResults[[#This Row],[Design - Teamwork (CV)]]</f>
        <v>0</v>
      </c>
      <c r="E47" s="118">
        <f>InnovationProjectResults[[#This Row],[Create - Innovation (CV)]]</f>
        <v>0</v>
      </c>
      <c r="F47" s="118">
        <f>InnovationProjectResults[[#This Row],[Communicate - Impact (CV)]]</f>
        <v>0</v>
      </c>
      <c r="G47" s="118">
        <f>InnovationProjectResults[[#This Row],[Communicate - Fun (CV)]]</f>
        <v>0</v>
      </c>
      <c r="H47" s="118">
        <f>'Robot Design Input'!D47</f>
        <v>0</v>
      </c>
      <c r="I47" s="118">
        <f>'Robot Design Input'!E47</f>
        <v>0</v>
      </c>
      <c r="J47" s="118">
        <f>RobotDesignResults[[#This Row],[Iterate - Improvements (CV)]]</f>
        <v>0</v>
      </c>
      <c r="K47" s="118">
        <f>RobotDesignResults[[#This Row],[Communicate - Impact (CV)]]</f>
        <v>0</v>
      </c>
      <c r="L47" s="118">
        <f>RobotDesignResults[[#This Row],[Communicate - Fun (CV)]]</f>
        <v>0</v>
      </c>
      <c r="M47" s="115"/>
      <c r="N47" s="115"/>
      <c r="O47" s="115"/>
      <c r="P47" s="115"/>
      <c r="Q47" s="115"/>
      <c r="R47" s="115" t="str">
        <f>IF(CoreValuesResults[[#This Row],[Gracious Professionalism 1]]="","",COUNTIF(CoreValuesResults[[#This Row],[Gracious Professionalism 1]:[Gracious Professionalism 5]],""))</f>
        <v/>
      </c>
      <c r="S47" s="115" t="str">
        <f>IF(CoreValuesResults[[#This Row],[Gracious Professionalism 1]]="","",SUM(CoreValuesResults[[#This Row],[Gracious Professionalism 1]:[Gracious Professionalism 5]]))</f>
        <v/>
      </c>
      <c r="T4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7" s="111">
        <f>SUM(CoreValuesResults[[#This Row],[Discovery (IP)]:[Fun (RD)]],CoreValuesResults[[#This Row],[Gracious Professionalism Score]])</f>
        <v>0</v>
      </c>
      <c r="V47" s="56">
        <f>IF(CoreValuesResults[[#This Row],[Team Number]]&gt;0,MIN(_xlfn.RANK.EQ(CoreValuesResults[[#This Row],[Core Values Score]],CoreValuesResults[Core Values Score],0),NumberOfTeams),NumberOfTeams+1)</f>
        <v>1</v>
      </c>
      <c r="W47" s="57"/>
      <c r="X47" s="57"/>
      <c r="Y47" s="57"/>
    </row>
    <row r="48" spans="1:25" ht="30" customHeight="1" x14ac:dyDescent="0.3">
      <c r="A48" s="115"/>
      <c r="B48" s="116" t="str">
        <f>IF(ISNA(INDEX(OfficialTeamList[Team Name],MATCH(CoreValuesResults[[#This Row],[Team Number]], OfficialTeamList[Team Number],0))),"",INDEX(OfficialTeamList[Team Name],MATCH(CoreValuesResults[[#This Row],[Team Number]], OfficialTeamList[Team Number],0)))</f>
        <v/>
      </c>
      <c r="C48" s="118">
        <f>'Innovation Project Input'!D48</f>
        <v>0</v>
      </c>
      <c r="D48" s="118">
        <f>InnovationProjectResults[[#This Row],[Design - Teamwork (CV)]]</f>
        <v>0</v>
      </c>
      <c r="E48" s="118">
        <f>InnovationProjectResults[[#This Row],[Create - Innovation (CV)]]</f>
        <v>0</v>
      </c>
      <c r="F48" s="118">
        <f>InnovationProjectResults[[#This Row],[Communicate - Impact (CV)]]</f>
        <v>0</v>
      </c>
      <c r="G48" s="118">
        <f>InnovationProjectResults[[#This Row],[Communicate - Fun (CV)]]</f>
        <v>0</v>
      </c>
      <c r="H48" s="118">
        <f>'Robot Design Input'!D48</f>
        <v>0</v>
      </c>
      <c r="I48" s="118">
        <f>'Robot Design Input'!E48</f>
        <v>0</v>
      </c>
      <c r="J48" s="118">
        <f>RobotDesignResults[[#This Row],[Iterate - Improvements (CV)]]</f>
        <v>0</v>
      </c>
      <c r="K48" s="118">
        <f>RobotDesignResults[[#This Row],[Communicate - Impact (CV)]]</f>
        <v>0</v>
      </c>
      <c r="L48" s="118">
        <f>RobotDesignResults[[#This Row],[Communicate - Fun (CV)]]</f>
        <v>0</v>
      </c>
      <c r="M48" s="115"/>
      <c r="N48" s="115"/>
      <c r="O48" s="115"/>
      <c r="P48" s="115"/>
      <c r="Q48" s="115"/>
      <c r="R48" s="115" t="str">
        <f>IF(CoreValuesResults[[#This Row],[Gracious Professionalism 1]]="","",COUNTIF(CoreValuesResults[[#This Row],[Gracious Professionalism 1]:[Gracious Professionalism 5]],""))</f>
        <v/>
      </c>
      <c r="S48" s="115" t="str">
        <f>IF(CoreValuesResults[[#This Row],[Gracious Professionalism 1]]="","",SUM(CoreValuesResults[[#This Row],[Gracious Professionalism 1]:[Gracious Professionalism 5]]))</f>
        <v/>
      </c>
      <c r="T4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8" s="111">
        <f>SUM(CoreValuesResults[[#This Row],[Discovery (IP)]:[Fun (RD)]],CoreValuesResults[[#This Row],[Gracious Professionalism Score]])</f>
        <v>0</v>
      </c>
      <c r="V48" s="56">
        <f>IF(CoreValuesResults[[#This Row],[Team Number]]&gt;0,MIN(_xlfn.RANK.EQ(CoreValuesResults[[#This Row],[Core Values Score]],CoreValuesResults[Core Values Score],0),NumberOfTeams),NumberOfTeams+1)</f>
        <v>1</v>
      </c>
      <c r="W48" s="57"/>
      <c r="X48" s="57"/>
      <c r="Y48" s="57"/>
    </row>
    <row r="49" spans="1:25" ht="30" customHeight="1" x14ac:dyDescent="0.3">
      <c r="A49" s="115"/>
      <c r="B49" s="116" t="str">
        <f>IF(ISNA(INDEX(OfficialTeamList[Team Name],MATCH(CoreValuesResults[[#This Row],[Team Number]], OfficialTeamList[Team Number],0))),"",INDEX(OfficialTeamList[Team Name],MATCH(CoreValuesResults[[#This Row],[Team Number]], OfficialTeamList[Team Number],0)))</f>
        <v/>
      </c>
      <c r="C49" s="118">
        <f>'Innovation Project Input'!D49</f>
        <v>0</v>
      </c>
      <c r="D49" s="118">
        <f>InnovationProjectResults[[#This Row],[Design - Teamwork (CV)]]</f>
        <v>0</v>
      </c>
      <c r="E49" s="118">
        <f>InnovationProjectResults[[#This Row],[Create - Innovation (CV)]]</f>
        <v>0</v>
      </c>
      <c r="F49" s="118">
        <f>InnovationProjectResults[[#This Row],[Communicate - Impact (CV)]]</f>
        <v>0</v>
      </c>
      <c r="G49" s="118">
        <f>InnovationProjectResults[[#This Row],[Communicate - Fun (CV)]]</f>
        <v>0</v>
      </c>
      <c r="H49" s="118">
        <f>'Robot Design Input'!D49</f>
        <v>0</v>
      </c>
      <c r="I49" s="118">
        <f>'Robot Design Input'!E49</f>
        <v>0</v>
      </c>
      <c r="J49" s="118">
        <f>RobotDesignResults[[#This Row],[Iterate - Improvements (CV)]]</f>
        <v>0</v>
      </c>
      <c r="K49" s="118">
        <f>RobotDesignResults[[#This Row],[Communicate - Impact (CV)]]</f>
        <v>0</v>
      </c>
      <c r="L49" s="118">
        <f>RobotDesignResults[[#This Row],[Communicate - Fun (CV)]]</f>
        <v>0</v>
      </c>
      <c r="M49" s="115"/>
      <c r="N49" s="115"/>
      <c r="O49" s="115"/>
      <c r="P49" s="115"/>
      <c r="Q49" s="115"/>
      <c r="R49" s="115" t="str">
        <f>IF(CoreValuesResults[[#This Row],[Gracious Professionalism 1]]="","",COUNTIF(CoreValuesResults[[#This Row],[Gracious Professionalism 1]:[Gracious Professionalism 5]],""))</f>
        <v/>
      </c>
      <c r="S49" s="115" t="str">
        <f>IF(CoreValuesResults[[#This Row],[Gracious Professionalism 1]]="","",SUM(CoreValuesResults[[#This Row],[Gracious Professionalism 1]:[Gracious Professionalism 5]]))</f>
        <v/>
      </c>
      <c r="T4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9" s="111">
        <f>SUM(CoreValuesResults[[#This Row],[Discovery (IP)]:[Fun (RD)]],CoreValuesResults[[#This Row],[Gracious Professionalism Score]])</f>
        <v>0</v>
      </c>
      <c r="V49" s="56">
        <f>IF(CoreValuesResults[[#This Row],[Team Number]]&gt;0,MIN(_xlfn.RANK.EQ(CoreValuesResults[[#This Row],[Core Values Score]],CoreValuesResults[Core Values Score],0),NumberOfTeams),NumberOfTeams+1)</f>
        <v>1</v>
      </c>
      <c r="W49" s="57"/>
      <c r="X49" s="57"/>
      <c r="Y49" s="57"/>
    </row>
    <row r="50" spans="1:25" ht="30" customHeight="1" x14ac:dyDescent="0.3">
      <c r="A50" s="115"/>
      <c r="B50" s="116" t="str">
        <f>IF(ISNA(INDEX(OfficialTeamList[Team Name],MATCH(CoreValuesResults[[#This Row],[Team Number]], OfficialTeamList[Team Number],0))),"",INDEX(OfficialTeamList[Team Name],MATCH(CoreValuesResults[[#This Row],[Team Number]], OfficialTeamList[Team Number],0)))</f>
        <v/>
      </c>
      <c r="C50" s="118">
        <f>'Innovation Project Input'!D50</f>
        <v>0</v>
      </c>
      <c r="D50" s="118">
        <f>InnovationProjectResults[[#This Row],[Design - Teamwork (CV)]]</f>
        <v>0</v>
      </c>
      <c r="E50" s="118">
        <f>InnovationProjectResults[[#This Row],[Create - Innovation (CV)]]</f>
        <v>0</v>
      </c>
      <c r="F50" s="118">
        <f>InnovationProjectResults[[#This Row],[Communicate - Impact (CV)]]</f>
        <v>0</v>
      </c>
      <c r="G50" s="118">
        <f>InnovationProjectResults[[#This Row],[Communicate - Fun (CV)]]</f>
        <v>0</v>
      </c>
      <c r="H50" s="118">
        <f>'Robot Design Input'!D50</f>
        <v>0</v>
      </c>
      <c r="I50" s="118">
        <f>'Robot Design Input'!E50</f>
        <v>0</v>
      </c>
      <c r="J50" s="118">
        <f>RobotDesignResults[[#This Row],[Iterate - Improvements (CV)]]</f>
        <v>0</v>
      </c>
      <c r="K50" s="118">
        <f>RobotDesignResults[[#This Row],[Communicate - Impact (CV)]]</f>
        <v>0</v>
      </c>
      <c r="L50" s="118">
        <f>RobotDesignResults[[#This Row],[Communicate - Fun (CV)]]</f>
        <v>0</v>
      </c>
      <c r="M50" s="115"/>
      <c r="N50" s="115"/>
      <c r="O50" s="115"/>
      <c r="P50" s="115"/>
      <c r="Q50" s="115"/>
      <c r="R50" s="115" t="str">
        <f>IF(CoreValuesResults[[#This Row],[Gracious Professionalism 1]]="","",COUNTIF(CoreValuesResults[[#This Row],[Gracious Professionalism 1]:[Gracious Professionalism 5]],""))</f>
        <v/>
      </c>
      <c r="S50" s="115" t="str">
        <f>IF(CoreValuesResults[[#This Row],[Gracious Professionalism 1]]="","",SUM(CoreValuesResults[[#This Row],[Gracious Professionalism 1]:[Gracious Professionalism 5]]))</f>
        <v/>
      </c>
      <c r="T5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0" s="111">
        <f>SUM(CoreValuesResults[[#This Row],[Discovery (IP)]:[Fun (RD)]],CoreValuesResults[[#This Row],[Gracious Professionalism Score]])</f>
        <v>0</v>
      </c>
      <c r="V50" s="56">
        <f>IF(CoreValuesResults[[#This Row],[Team Number]]&gt;0,MIN(_xlfn.RANK.EQ(CoreValuesResults[[#This Row],[Core Values Score]],CoreValuesResults[Core Values Score],0),NumberOfTeams),NumberOfTeams+1)</f>
        <v>1</v>
      </c>
      <c r="W50" s="57"/>
      <c r="X50" s="57"/>
      <c r="Y50" s="57"/>
    </row>
    <row r="51" spans="1:25" ht="30" customHeight="1" x14ac:dyDescent="0.3">
      <c r="A51" s="115"/>
      <c r="B51" s="116" t="str">
        <f>IF(ISNA(INDEX(OfficialTeamList[Team Name],MATCH(CoreValuesResults[[#This Row],[Team Number]], OfficialTeamList[Team Number],0))),"",INDEX(OfficialTeamList[Team Name],MATCH(CoreValuesResults[[#This Row],[Team Number]], OfficialTeamList[Team Number],0)))</f>
        <v/>
      </c>
      <c r="C51" s="118">
        <f>'Innovation Project Input'!D51</f>
        <v>0</v>
      </c>
      <c r="D51" s="118">
        <f>InnovationProjectResults[[#This Row],[Design - Teamwork (CV)]]</f>
        <v>0</v>
      </c>
      <c r="E51" s="118">
        <f>InnovationProjectResults[[#This Row],[Create - Innovation (CV)]]</f>
        <v>0</v>
      </c>
      <c r="F51" s="118">
        <f>InnovationProjectResults[[#This Row],[Communicate - Impact (CV)]]</f>
        <v>0</v>
      </c>
      <c r="G51" s="118">
        <f>InnovationProjectResults[[#This Row],[Communicate - Fun (CV)]]</f>
        <v>0</v>
      </c>
      <c r="H51" s="118">
        <f>'Robot Design Input'!D51</f>
        <v>0</v>
      </c>
      <c r="I51" s="118">
        <f>'Robot Design Input'!E51</f>
        <v>0</v>
      </c>
      <c r="J51" s="118">
        <f>RobotDesignResults[[#This Row],[Iterate - Improvements (CV)]]</f>
        <v>0</v>
      </c>
      <c r="K51" s="118">
        <f>RobotDesignResults[[#This Row],[Communicate - Impact (CV)]]</f>
        <v>0</v>
      </c>
      <c r="L51" s="118">
        <f>RobotDesignResults[[#This Row],[Communicate - Fun (CV)]]</f>
        <v>0</v>
      </c>
      <c r="M51" s="115"/>
      <c r="N51" s="115"/>
      <c r="O51" s="115"/>
      <c r="P51" s="115"/>
      <c r="Q51" s="115"/>
      <c r="R51" s="115" t="str">
        <f>IF(CoreValuesResults[[#This Row],[Gracious Professionalism 1]]="","",COUNTIF(CoreValuesResults[[#This Row],[Gracious Professionalism 1]:[Gracious Professionalism 5]],""))</f>
        <v/>
      </c>
      <c r="S51" s="115" t="str">
        <f>IF(CoreValuesResults[[#This Row],[Gracious Professionalism 1]]="","",SUM(CoreValuesResults[[#This Row],[Gracious Professionalism 1]:[Gracious Professionalism 5]]))</f>
        <v/>
      </c>
      <c r="T5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1" s="111">
        <f>SUM(CoreValuesResults[[#This Row],[Discovery (IP)]:[Fun (RD)]],CoreValuesResults[[#This Row],[Gracious Professionalism Score]])</f>
        <v>0</v>
      </c>
      <c r="V51" s="56">
        <f>IF(CoreValuesResults[[#This Row],[Team Number]]&gt;0,MIN(_xlfn.RANK.EQ(CoreValuesResults[[#This Row],[Core Values Score]],CoreValuesResults[Core Values Score],0),NumberOfTeams),NumberOfTeams+1)</f>
        <v>1</v>
      </c>
      <c r="W51" s="57"/>
      <c r="X51" s="57"/>
      <c r="Y51" s="57"/>
    </row>
    <row r="52" spans="1:25" ht="30" customHeight="1" x14ac:dyDescent="0.3">
      <c r="A52" s="115"/>
      <c r="B52" s="116" t="str">
        <f>IF(ISNA(INDEX(OfficialTeamList[Team Name],MATCH(CoreValuesResults[[#This Row],[Team Number]], OfficialTeamList[Team Number],0))),"",INDEX(OfficialTeamList[Team Name],MATCH(CoreValuesResults[[#This Row],[Team Number]], OfficialTeamList[Team Number],0)))</f>
        <v/>
      </c>
      <c r="C52" s="118">
        <f>'Innovation Project Input'!D52</f>
        <v>0</v>
      </c>
      <c r="D52" s="118">
        <f>InnovationProjectResults[[#This Row],[Design - Teamwork (CV)]]</f>
        <v>0</v>
      </c>
      <c r="E52" s="118">
        <f>InnovationProjectResults[[#This Row],[Create - Innovation (CV)]]</f>
        <v>0</v>
      </c>
      <c r="F52" s="118">
        <f>InnovationProjectResults[[#This Row],[Communicate - Impact (CV)]]</f>
        <v>0</v>
      </c>
      <c r="G52" s="118">
        <f>InnovationProjectResults[[#This Row],[Communicate - Fun (CV)]]</f>
        <v>0</v>
      </c>
      <c r="H52" s="118">
        <f>'Robot Design Input'!D52</f>
        <v>0</v>
      </c>
      <c r="I52" s="118">
        <f>'Robot Design Input'!E52</f>
        <v>0</v>
      </c>
      <c r="J52" s="118">
        <f>RobotDesignResults[[#This Row],[Iterate - Improvements (CV)]]</f>
        <v>0</v>
      </c>
      <c r="K52" s="118">
        <f>RobotDesignResults[[#This Row],[Communicate - Impact (CV)]]</f>
        <v>0</v>
      </c>
      <c r="L52" s="118">
        <f>RobotDesignResults[[#This Row],[Communicate - Fun (CV)]]</f>
        <v>0</v>
      </c>
      <c r="M52" s="115"/>
      <c r="N52" s="115"/>
      <c r="O52" s="115"/>
      <c r="P52" s="115"/>
      <c r="Q52" s="115"/>
      <c r="R52" s="115" t="str">
        <f>IF(CoreValuesResults[[#This Row],[Gracious Professionalism 1]]="","",COUNTIF(CoreValuesResults[[#This Row],[Gracious Professionalism 1]:[Gracious Professionalism 5]],""))</f>
        <v/>
      </c>
      <c r="S52" s="115" t="str">
        <f>IF(CoreValuesResults[[#This Row],[Gracious Professionalism 1]]="","",SUM(CoreValuesResults[[#This Row],[Gracious Professionalism 1]:[Gracious Professionalism 5]]))</f>
        <v/>
      </c>
      <c r="T5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2" s="111">
        <f>SUM(CoreValuesResults[[#This Row],[Discovery (IP)]:[Fun (RD)]],CoreValuesResults[[#This Row],[Gracious Professionalism Score]])</f>
        <v>0</v>
      </c>
      <c r="V52" s="56">
        <f>IF(CoreValuesResults[[#This Row],[Team Number]]&gt;0,MIN(_xlfn.RANK.EQ(CoreValuesResults[[#This Row],[Core Values Score]],CoreValuesResults[Core Values Score],0),NumberOfTeams),NumberOfTeams+1)</f>
        <v>1</v>
      </c>
      <c r="W52" s="57"/>
      <c r="X52" s="57"/>
      <c r="Y52" s="57"/>
    </row>
    <row r="53" spans="1:25" ht="30" customHeight="1" x14ac:dyDescent="0.3">
      <c r="A53" s="115"/>
      <c r="B53" s="116" t="str">
        <f>IF(ISNA(INDEX(OfficialTeamList[Team Name],MATCH(CoreValuesResults[[#This Row],[Team Number]], OfficialTeamList[Team Number],0))),"",INDEX(OfficialTeamList[Team Name],MATCH(CoreValuesResults[[#This Row],[Team Number]], OfficialTeamList[Team Number],0)))</f>
        <v/>
      </c>
      <c r="C53" s="118">
        <f>'Innovation Project Input'!D53</f>
        <v>0</v>
      </c>
      <c r="D53" s="118">
        <f>InnovationProjectResults[[#This Row],[Design - Teamwork (CV)]]</f>
        <v>0</v>
      </c>
      <c r="E53" s="118">
        <f>InnovationProjectResults[[#This Row],[Create - Innovation (CV)]]</f>
        <v>0</v>
      </c>
      <c r="F53" s="118">
        <f>InnovationProjectResults[[#This Row],[Communicate - Impact (CV)]]</f>
        <v>0</v>
      </c>
      <c r="G53" s="118">
        <f>InnovationProjectResults[[#This Row],[Communicate - Fun (CV)]]</f>
        <v>0</v>
      </c>
      <c r="H53" s="118">
        <f>'Robot Design Input'!D53</f>
        <v>0</v>
      </c>
      <c r="I53" s="118">
        <f>'Robot Design Input'!E53</f>
        <v>0</v>
      </c>
      <c r="J53" s="118">
        <f>RobotDesignResults[[#This Row],[Iterate - Improvements (CV)]]</f>
        <v>0</v>
      </c>
      <c r="K53" s="118">
        <f>RobotDesignResults[[#This Row],[Communicate - Impact (CV)]]</f>
        <v>0</v>
      </c>
      <c r="L53" s="118">
        <f>RobotDesignResults[[#This Row],[Communicate - Fun (CV)]]</f>
        <v>0</v>
      </c>
      <c r="M53" s="115"/>
      <c r="N53" s="115"/>
      <c r="O53" s="115"/>
      <c r="P53" s="115"/>
      <c r="Q53" s="115"/>
      <c r="R53" s="115" t="str">
        <f>IF(CoreValuesResults[[#This Row],[Gracious Professionalism 1]]="","",COUNTIF(CoreValuesResults[[#This Row],[Gracious Professionalism 1]:[Gracious Professionalism 5]],""))</f>
        <v/>
      </c>
      <c r="S53" s="115" t="str">
        <f>IF(CoreValuesResults[[#This Row],[Gracious Professionalism 1]]="","",SUM(CoreValuesResults[[#This Row],[Gracious Professionalism 1]:[Gracious Professionalism 5]]))</f>
        <v/>
      </c>
      <c r="T5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3" s="111">
        <f>SUM(CoreValuesResults[[#This Row],[Discovery (IP)]:[Fun (RD)]],CoreValuesResults[[#This Row],[Gracious Professionalism Score]])</f>
        <v>0</v>
      </c>
      <c r="V53" s="56">
        <f>IF(CoreValuesResults[[#This Row],[Team Number]]&gt;0,MIN(_xlfn.RANK.EQ(CoreValuesResults[[#This Row],[Core Values Score]],CoreValuesResults[Core Values Score],0),NumberOfTeams),NumberOfTeams+1)</f>
        <v>1</v>
      </c>
      <c r="W53" s="57"/>
      <c r="X53" s="57"/>
      <c r="Y53" s="57"/>
    </row>
    <row r="54" spans="1:25" ht="30" customHeight="1" x14ac:dyDescent="0.3">
      <c r="A54" s="115"/>
      <c r="B54" s="116" t="str">
        <f>IF(ISNA(INDEX(OfficialTeamList[Team Name],MATCH(CoreValuesResults[[#This Row],[Team Number]], OfficialTeamList[Team Number],0))),"",INDEX(OfficialTeamList[Team Name],MATCH(CoreValuesResults[[#This Row],[Team Number]], OfficialTeamList[Team Number],0)))</f>
        <v/>
      </c>
      <c r="C54" s="118">
        <f>'Innovation Project Input'!D54</f>
        <v>0</v>
      </c>
      <c r="D54" s="118">
        <f>InnovationProjectResults[[#This Row],[Design - Teamwork (CV)]]</f>
        <v>0</v>
      </c>
      <c r="E54" s="118">
        <f>InnovationProjectResults[[#This Row],[Create - Innovation (CV)]]</f>
        <v>0</v>
      </c>
      <c r="F54" s="118">
        <f>InnovationProjectResults[[#This Row],[Communicate - Impact (CV)]]</f>
        <v>0</v>
      </c>
      <c r="G54" s="118">
        <f>InnovationProjectResults[[#This Row],[Communicate - Fun (CV)]]</f>
        <v>0</v>
      </c>
      <c r="H54" s="118">
        <f>'Robot Design Input'!D54</f>
        <v>0</v>
      </c>
      <c r="I54" s="118">
        <f>'Robot Design Input'!E54</f>
        <v>0</v>
      </c>
      <c r="J54" s="118">
        <f>RobotDesignResults[[#This Row],[Iterate - Improvements (CV)]]</f>
        <v>0</v>
      </c>
      <c r="K54" s="118">
        <f>RobotDesignResults[[#This Row],[Communicate - Impact (CV)]]</f>
        <v>0</v>
      </c>
      <c r="L54" s="118">
        <f>RobotDesignResults[[#This Row],[Communicate - Fun (CV)]]</f>
        <v>0</v>
      </c>
      <c r="M54" s="115"/>
      <c r="N54" s="115"/>
      <c r="O54" s="115"/>
      <c r="P54" s="115"/>
      <c r="Q54" s="115"/>
      <c r="R54" s="115" t="str">
        <f>IF(CoreValuesResults[[#This Row],[Gracious Professionalism 1]]="","",COUNTIF(CoreValuesResults[[#This Row],[Gracious Professionalism 1]:[Gracious Professionalism 5]],""))</f>
        <v/>
      </c>
      <c r="S54" s="115" t="str">
        <f>IF(CoreValuesResults[[#This Row],[Gracious Professionalism 1]]="","",SUM(CoreValuesResults[[#This Row],[Gracious Professionalism 1]:[Gracious Professionalism 5]]))</f>
        <v/>
      </c>
      <c r="T5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4" s="111">
        <f>SUM(CoreValuesResults[[#This Row],[Discovery (IP)]:[Fun (RD)]],CoreValuesResults[[#This Row],[Gracious Professionalism Score]])</f>
        <v>0</v>
      </c>
      <c r="V54" s="56">
        <f>IF(CoreValuesResults[[#This Row],[Team Number]]&gt;0,MIN(_xlfn.RANK.EQ(CoreValuesResults[[#This Row],[Core Values Score]],CoreValuesResults[Core Values Score],0),NumberOfTeams),NumberOfTeams+1)</f>
        <v>1</v>
      </c>
      <c r="W54" s="57"/>
      <c r="X54" s="57"/>
      <c r="Y54" s="57"/>
    </row>
    <row r="55" spans="1:25" ht="30" customHeight="1" x14ac:dyDescent="0.3">
      <c r="A55" s="115"/>
      <c r="B55" s="116" t="str">
        <f>IF(ISNA(INDEX(OfficialTeamList[Team Name],MATCH(CoreValuesResults[[#This Row],[Team Number]], OfficialTeamList[Team Number],0))),"",INDEX(OfficialTeamList[Team Name],MATCH(CoreValuesResults[[#This Row],[Team Number]], OfficialTeamList[Team Number],0)))</f>
        <v/>
      </c>
      <c r="C55" s="118">
        <f>'Innovation Project Input'!D55</f>
        <v>0</v>
      </c>
      <c r="D55" s="118">
        <f>InnovationProjectResults[[#This Row],[Design - Teamwork (CV)]]</f>
        <v>0</v>
      </c>
      <c r="E55" s="118">
        <f>InnovationProjectResults[[#This Row],[Create - Innovation (CV)]]</f>
        <v>0</v>
      </c>
      <c r="F55" s="118">
        <f>InnovationProjectResults[[#This Row],[Communicate - Impact (CV)]]</f>
        <v>0</v>
      </c>
      <c r="G55" s="118">
        <f>InnovationProjectResults[[#This Row],[Communicate - Fun (CV)]]</f>
        <v>0</v>
      </c>
      <c r="H55" s="118">
        <f>'Robot Design Input'!D55</f>
        <v>0</v>
      </c>
      <c r="I55" s="118">
        <f>'Robot Design Input'!E55</f>
        <v>0</v>
      </c>
      <c r="J55" s="118">
        <f>RobotDesignResults[[#This Row],[Iterate - Improvements (CV)]]</f>
        <v>0</v>
      </c>
      <c r="K55" s="118">
        <f>RobotDesignResults[[#This Row],[Communicate - Impact (CV)]]</f>
        <v>0</v>
      </c>
      <c r="L55" s="118">
        <f>RobotDesignResults[[#This Row],[Communicate - Fun (CV)]]</f>
        <v>0</v>
      </c>
      <c r="M55" s="115"/>
      <c r="N55" s="115"/>
      <c r="O55" s="115"/>
      <c r="P55" s="115"/>
      <c r="Q55" s="115"/>
      <c r="R55" s="115" t="str">
        <f>IF(CoreValuesResults[[#This Row],[Gracious Professionalism 1]]="","",COUNTIF(CoreValuesResults[[#This Row],[Gracious Professionalism 1]:[Gracious Professionalism 5]],""))</f>
        <v/>
      </c>
      <c r="S55" s="115" t="str">
        <f>IF(CoreValuesResults[[#This Row],[Gracious Professionalism 1]]="","",SUM(CoreValuesResults[[#This Row],[Gracious Professionalism 1]:[Gracious Professionalism 5]]))</f>
        <v/>
      </c>
      <c r="T5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5" s="111">
        <f>SUM(CoreValuesResults[[#This Row],[Discovery (IP)]:[Fun (RD)]],CoreValuesResults[[#This Row],[Gracious Professionalism Score]])</f>
        <v>0</v>
      </c>
      <c r="V55" s="56">
        <f>IF(CoreValuesResults[[#This Row],[Team Number]]&gt;0,MIN(_xlfn.RANK.EQ(CoreValuesResults[[#This Row],[Core Values Score]],CoreValuesResults[Core Values Score],0),NumberOfTeams),NumberOfTeams+1)</f>
        <v>1</v>
      </c>
      <c r="W55" s="57"/>
      <c r="X55" s="57"/>
      <c r="Y55" s="57"/>
    </row>
    <row r="56" spans="1:25" ht="30" customHeight="1" x14ac:dyDescent="0.3">
      <c r="A56" s="115"/>
      <c r="B56" s="116" t="str">
        <f>IF(ISNA(INDEX(OfficialTeamList[Team Name],MATCH(CoreValuesResults[[#This Row],[Team Number]], OfficialTeamList[Team Number],0))),"",INDEX(OfficialTeamList[Team Name],MATCH(CoreValuesResults[[#This Row],[Team Number]], OfficialTeamList[Team Number],0)))</f>
        <v/>
      </c>
      <c r="C56" s="118">
        <f>'Innovation Project Input'!D56</f>
        <v>0</v>
      </c>
      <c r="D56" s="118">
        <f>InnovationProjectResults[[#This Row],[Design - Teamwork (CV)]]</f>
        <v>0</v>
      </c>
      <c r="E56" s="118">
        <f>InnovationProjectResults[[#This Row],[Create - Innovation (CV)]]</f>
        <v>0</v>
      </c>
      <c r="F56" s="118">
        <f>InnovationProjectResults[[#This Row],[Communicate - Impact (CV)]]</f>
        <v>0</v>
      </c>
      <c r="G56" s="118">
        <f>InnovationProjectResults[[#This Row],[Communicate - Fun (CV)]]</f>
        <v>0</v>
      </c>
      <c r="H56" s="118">
        <f>'Robot Design Input'!D56</f>
        <v>0</v>
      </c>
      <c r="I56" s="118">
        <f>'Robot Design Input'!E56</f>
        <v>0</v>
      </c>
      <c r="J56" s="118">
        <f>RobotDesignResults[[#This Row],[Iterate - Improvements (CV)]]</f>
        <v>0</v>
      </c>
      <c r="K56" s="118">
        <f>RobotDesignResults[[#This Row],[Communicate - Impact (CV)]]</f>
        <v>0</v>
      </c>
      <c r="L56" s="118">
        <f>RobotDesignResults[[#This Row],[Communicate - Fun (CV)]]</f>
        <v>0</v>
      </c>
      <c r="M56" s="115"/>
      <c r="N56" s="115"/>
      <c r="O56" s="115"/>
      <c r="P56" s="115"/>
      <c r="Q56" s="115"/>
      <c r="R56" s="115" t="str">
        <f>IF(CoreValuesResults[[#This Row],[Gracious Professionalism 1]]="","",COUNTIF(CoreValuesResults[[#This Row],[Gracious Professionalism 1]:[Gracious Professionalism 5]],""))</f>
        <v/>
      </c>
      <c r="S56" s="115" t="str">
        <f>IF(CoreValuesResults[[#This Row],[Gracious Professionalism 1]]="","",SUM(CoreValuesResults[[#This Row],[Gracious Professionalism 1]:[Gracious Professionalism 5]]))</f>
        <v/>
      </c>
      <c r="T5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6" s="111">
        <f>SUM(CoreValuesResults[[#This Row],[Discovery (IP)]:[Fun (RD)]],CoreValuesResults[[#This Row],[Gracious Professionalism Score]])</f>
        <v>0</v>
      </c>
      <c r="V56" s="56">
        <f>IF(CoreValuesResults[[#This Row],[Team Number]]&gt;0,MIN(_xlfn.RANK.EQ(CoreValuesResults[[#This Row],[Core Values Score]],CoreValuesResults[Core Values Score],0),NumberOfTeams),NumberOfTeams+1)</f>
        <v>1</v>
      </c>
      <c r="W56" s="57"/>
      <c r="X56" s="57"/>
      <c r="Y56" s="57"/>
    </row>
    <row r="57" spans="1:25" ht="30" customHeight="1" x14ac:dyDescent="0.3">
      <c r="A57" s="115"/>
      <c r="B57" s="116" t="str">
        <f>IF(ISNA(INDEX(OfficialTeamList[Team Name],MATCH(CoreValuesResults[[#This Row],[Team Number]], OfficialTeamList[Team Number],0))),"",INDEX(OfficialTeamList[Team Name],MATCH(CoreValuesResults[[#This Row],[Team Number]], OfficialTeamList[Team Number],0)))</f>
        <v/>
      </c>
      <c r="C57" s="118">
        <f>'Innovation Project Input'!D57</f>
        <v>0</v>
      </c>
      <c r="D57" s="118">
        <f>InnovationProjectResults[[#This Row],[Design - Teamwork (CV)]]</f>
        <v>0</v>
      </c>
      <c r="E57" s="118">
        <f>InnovationProjectResults[[#This Row],[Create - Innovation (CV)]]</f>
        <v>0</v>
      </c>
      <c r="F57" s="118">
        <f>InnovationProjectResults[[#This Row],[Communicate - Impact (CV)]]</f>
        <v>0</v>
      </c>
      <c r="G57" s="118">
        <f>InnovationProjectResults[[#This Row],[Communicate - Fun (CV)]]</f>
        <v>0</v>
      </c>
      <c r="H57" s="118">
        <f>'Robot Design Input'!D57</f>
        <v>0</v>
      </c>
      <c r="I57" s="118">
        <f>'Robot Design Input'!E57</f>
        <v>0</v>
      </c>
      <c r="J57" s="118">
        <f>RobotDesignResults[[#This Row],[Iterate - Improvements (CV)]]</f>
        <v>0</v>
      </c>
      <c r="K57" s="118">
        <f>RobotDesignResults[[#This Row],[Communicate - Impact (CV)]]</f>
        <v>0</v>
      </c>
      <c r="L57" s="118">
        <f>RobotDesignResults[[#This Row],[Communicate - Fun (CV)]]</f>
        <v>0</v>
      </c>
      <c r="M57" s="115"/>
      <c r="N57" s="115"/>
      <c r="O57" s="115"/>
      <c r="P57" s="115"/>
      <c r="Q57" s="115"/>
      <c r="R57" s="115" t="str">
        <f>IF(CoreValuesResults[[#This Row],[Gracious Professionalism 1]]="","",COUNTIF(CoreValuesResults[[#This Row],[Gracious Professionalism 1]:[Gracious Professionalism 5]],""))</f>
        <v/>
      </c>
      <c r="S57" s="115" t="str">
        <f>IF(CoreValuesResults[[#This Row],[Gracious Professionalism 1]]="","",SUM(CoreValuesResults[[#This Row],[Gracious Professionalism 1]:[Gracious Professionalism 5]]))</f>
        <v/>
      </c>
      <c r="T5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7" s="111">
        <f>SUM(CoreValuesResults[[#This Row],[Discovery (IP)]:[Fun (RD)]],CoreValuesResults[[#This Row],[Gracious Professionalism Score]])</f>
        <v>0</v>
      </c>
      <c r="V57" s="56">
        <f>IF(CoreValuesResults[[#This Row],[Team Number]]&gt;0,MIN(_xlfn.RANK.EQ(CoreValuesResults[[#This Row],[Core Values Score]],CoreValuesResults[Core Values Score],0),NumberOfTeams),NumberOfTeams+1)</f>
        <v>1</v>
      </c>
      <c r="W57" s="57"/>
      <c r="X57" s="57"/>
      <c r="Y57" s="57"/>
    </row>
    <row r="58" spans="1:25" ht="30" customHeight="1" x14ac:dyDescent="0.3">
      <c r="A58" s="115"/>
      <c r="B58" s="116" t="str">
        <f>IF(ISNA(INDEX(OfficialTeamList[Team Name],MATCH(CoreValuesResults[[#This Row],[Team Number]], OfficialTeamList[Team Number],0))),"",INDEX(OfficialTeamList[Team Name],MATCH(CoreValuesResults[[#This Row],[Team Number]], OfficialTeamList[Team Number],0)))</f>
        <v/>
      </c>
      <c r="C58" s="118">
        <f>'Innovation Project Input'!D58</f>
        <v>0</v>
      </c>
      <c r="D58" s="118">
        <f>InnovationProjectResults[[#This Row],[Design - Teamwork (CV)]]</f>
        <v>0</v>
      </c>
      <c r="E58" s="118">
        <f>InnovationProjectResults[[#This Row],[Create - Innovation (CV)]]</f>
        <v>0</v>
      </c>
      <c r="F58" s="118">
        <f>InnovationProjectResults[[#This Row],[Communicate - Impact (CV)]]</f>
        <v>0</v>
      </c>
      <c r="G58" s="118">
        <f>InnovationProjectResults[[#This Row],[Communicate - Fun (CV)]]</f>
        <v>0</v>
      </c>
      <c r="H58" s="118">
        <f>'Robot Design Input'!D58</f>
        <v>0</v>
      </c>
      <c r="I58" s="118">
        <f>'Robot Design Input'!E58</f>
        <v>0</v>
      </c>
      <c r="J58" s="118">
        <f>RobotDesignResults[[#This Row],[Iterate - Improvements (CV)]]</f>
        <v>0</v>
      </c>
      <c r="K58" s="118">
        <f>RobotDesignResults[[#This Row],[Communicate - Impact (CV)]]</f>
        <v>0</v>
      </c>
      <c r="L58" s="118">
        <f>RobotDesignResults[[#This Row],[Communicate - Fun (CV)]]</f>
        <v>0</v>
      </c>
      <c r="M58" s="115"/>
      <c r="N58" s="115"/>
      <c r="O58" s="115"/>
      <c r="P58" s="115"/>
      <c r="Q58" s="115"/>
      <c r="R58" s="115" t="str">
        <f>IF(CoreValuesResults[[#This Row],[Gracious Professionalism 1]]="","",COUNTIF(CoreValuesResults[[#This Row],[Gracious Professionalism 1]:[Gracious Professionalism 5]],""))</f>
        <v/>
      </c>
      <c r="S58" s="115" t="str">
        <f>IF(CoreValuesResults[[#This Row],[Gracious Professionalism 1]]="","",SUM(CoreValuesResults[[#This Row],[Gracious Professionalism 1]:[Gracious Professionalism 5]]))</f>
        <v/>
      </c>
      <c r="T5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8" s="111">
        <f>SUM(CoreValuesResults[[#This Row],[Discovery (IP)]:[Fun (RD)]],CoreValuesResults[[#This Row],[Gracious Professionalism Score]])</f>
        <v>0</v>
      </c>
      <c r="V58" s="56">
        <f>IF(CoreValuesResults[[#This Row],[Team Number]]&gt;0,MIN(_xlfn.RANK.EQ(CoreValuesResults[[#This Row],[Core Values Score]],CoreValuesResults[Core Values Score],0),NumberOfTeams),NumberOfTeams+1)</f>
        <v>1</v>
      </c>
      <c r="W58" s="57"/>
      <c r="X58" s="57"/>
      <c r="Y58" s="57"/>
    </row>
    <row r="59" spans="1:25" ht="30" customHeight="1" x14ac:dyDescent="0.3">
      <c r="A59" s="115"/>
      <c r="B59" s="116" t="str">
        <f>IF(ISNA(INDEX(OfficialTeamList[Team Name],MATCH(CoreValuesResults[[#This Row],[Team Number]], OfficialTeamList[Team Number],0))),"",INDEX(OfficialTeamList[Team Name],MATCH(CoreValuesResults[[#This Row],[Team Number]], OfficialTeamList[Team Number],0)))</f>
        <v/>
      </c>
      <c r="C59" s="118">
        <f>'Innovation Project Input'!D59</f>
        <v>0</v>
      </c>
      <c r="D59" s="118">
        <f>InnovationProjectResults[[#This Row],[Design - Teamwork (CV)]]</f>
        <v>0</v>
      </c>
      <c r="E59" s="118">
        <f>InnovationProjectResults[[#This Row],[Create - Innovation (CV)]]</f>
        <v>0</v>
      </c>
      <c r="F59" s="118">
        <f>InnovationProjectResults[[#This Row],[Communicate - Impact (CV)]]</f>
        <v>0</v>
      </c>
      <c r="G59" s="118">
        <f>InnovationProjectResults[[#This Row],[Communicate - Fun (CV)]]</f>
        <v>0</v>
      </c>
      <c r="H59" s="118">
        <f>'Robot Design Input'!D59</f>
        <v>0</v>
      </c>
      <c r="I59" s="118">
        <f>'Robot Design Input'!E59</f>
        <v>0</v>
      </c>
      <c r="J59" s="118">
        <f>RobotDesignResults[[#This Row],[Iterate - Improvements (CV)]]</f>
        <v>0</v>
      </c>
      <c r="K59" s="118">
        <f>RobotDesignResults[[#This Row],[Communicate - Impact (CV)]]</f>
        <v>0</v>
      </c>
      <c r="L59" s="118">
        <f>RobotDesignResults[[#This Row],[Communicate - Fun (CV)]]</f>
        <v>0</v>
      </c>
      <c r="M59" s="115"/>
      <c r="N59" s="115"/>
      <c r="O59" s="115"/>
      <c r="P59" s="115"/>
      <c r="Q59" s="115"/>
      <c r="R59" s="115" t="str">
        <f>IF(CoreValuesResults[[#This Row],[Gracious Professionalism 1]]="","",COUNTIF(CoreValuesResults[[#This Row],[Gracious Professionalism 1]:[Gracious Professionalism 5]],""))</f>
        <v/>
      </c>
      <c r="S59" s="115" t="str">
        <f>IF(CoreValuesResults[[#This Row],[Gracious Professionalism 1]]="","",SUM(CoreValuesResults[[#This Row],[Gracious Professionalism 1]:[Gracious Professionalism 5]]))</f>
        <v/>
      </c>
      <c r="T5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9" s="111">
        <f>SUM(CoreValuesResults[[#This Row],[Discovery (IP)]:[Fun (RD)]],CoreValuesResults[[#This Row],[Gracious Professionalism Score]])</f>
        <v>0</v>
      </c>
      <c r="V59" s="56">
        <f>IF(CoreValuesResults[[#This Row],[Team Number]]&gt;0,MIN(_xlfn.RANK.EQ(CoreValuesResults[[#This Row],[Core Values Score]],CoreValuesResults[Core Values Score],0),NumberOfTeams),NumberOfTeams+1)</f>
        <v>1</v>
      </c>
      <c r="W59" s="57"/>
      <c r="X59" s="57"/>
      <c r="Y59" s="57"/>
    </row>
    <row r="60" spans="1:25" ht="30" customHeight="1" x14ac:dyDescent="0.3">
      <c r="A60" s="115"/>
      <c r="B60" s="116" t="str">
        <f>IF(ISNA(INDEX(OfficialTeamList[Team Name],MATCH(CoreValuesResults[[#This Row],[Team Number]], OfficialTeamList[Team Number],0))),"",INDEX(OfficialTeamList[Team Name],MATCH(CoreValuesResults[[#This Row],[Team Number]], OfficialTeamList[Team Number],0)))</f>
        <v/>
      </c>
      <c r="C60" s="118">
        <f>'Innovation Project Input'!D60</f>
        <v>0</v>
      </c>
      <c r="D60" s="118">
        <f>InnovationProjectResults[[#This Row],[Design - Teamwork (CV)]]</f>
        <v>0</v>
      </c>
      <c r="E60" s="118">
        <f>InnovationProjectResults[[#This Row],[Create - Innovation (CV)]]</f>
        <v>0</v>
      </c>
      <c r="F60" s="118">
        <f>InnovationProjectResults[[#This Row],[Communicate - Impact (CV)]]</f>
        <v>0</v>
      </c>
      <c r="G60" s="118">
        <f>InnovationProjectResults[[#This Row],[Communicate - Fun (CV)]]</f>
        <v>0</v>
      </c>
      <c r="H60" s="118">
        <f>'Robot Design Input'!D60</f>
        <v>0</v>
      </c>
      <c r="I60" s="118">
        <f>'Robot Design Input'!E60</f>
        <v>0</v>
      </c>
      <c r="J60" s="118">
        <f>RobotDesignResults[[#This Row],[Iterate - Improvements (CV)]]</f>
        <v>0</v>
      </c>
      <c r="K60" s="118">
        <f>RobotDesignResults[[#This Row],[Communicate - Impact (CV)]]</f>
        <v>0</v>
      </c>
      <c r="L60" s="118">
        <f>RobotDesignResults[[#This Row],[Communicate - Fun (CV)]]</f>
        <v>0</v>
      </c>
      <c r="M60" s="115"/>
      <c r="N60" s="115"/>
      <c r="O60" s="115"/>
      <c r="P60" s="115"/>
      <c r="Q60" s="115"/>
      <c r="R60" s="115" t="str">
        <f>IF(CoreValuesResults[[#This Row],[Gracious Professionalism 1]]="","",COUNTIF(CoreValuesResults[[#This Row],[Gracious Professionalism 1]:[Gracious Professionalism 5]],""))</f>
        <v/>
      </c>
      <c r="S60" s="115" t="str">
        <f>IF(CoreValuesResults[[#This Row],[Gracious Professionalism 1]]="","",SUM(CoreValuesResults[[#This Row],[Gracious Professionalism 1]:[Gracious Professionalism 5]]))</f>
        <v/>
      </c>
      <c r="T6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0" s="111">
        <f>SUM(CoreValuesResults[[#This Row],[Discovery (IP)]:[Fun (RD)]],CoreValuesResults[[#This Row],[Gracious Professionalism Score]])</f>
        <v>0</v>
      </c>
      <c r="V60" s="56">
        <f>IF(CoreValuesResults[[#This Row],[Team Number]]&gt;0,MIN(_xlfn.RANK.EQ(CoreValuesResults[[#This Row],[Core Values Score]],CoreValuesResults[Core Values Score],0),NumberOfTeams),NumberOfTeams+1)</f>
        <v>1</v>
      </c>
      <c r="W60" s="57"/>
      <c r="X60" s="57"/>
      <c r="Y60" s="57"/>
    </row>
    <row r="61" spans="1:25" ht="30" customHeight="1" x14ac:dyDescent="0.3">
      <c r="A61" s="115"/>
      <c r="B61" s="116" t="str">
        <f>IF(ISNA(INDEX(OfficialTeamList[Team Name],MATCH(CoreValuesResults[[#This Row],[Team Number]], OfficialTeamList[Team Number],0))),"",INDEX(OfficialTeamList[Team Name],MATCH(CoreValuesResults[[#This Row],[Team Number]], OfficialTeamList[Team Number],0)))</f>
        <v/>
      </c>
      <c r="C61" s="118">
        <f>'Innovation Project Input'!D61</f>
        <v>0</v>
      </c>
      <c r="D61" s="118">
        <f>InnovationProjectResults[[#This Row],[Design - Teamwork (CV)]]</f>
        <v>0</v>
      </c>
      <c r="E61" s="118">
        <f>InnovationProjectResults[[#This Row],[Create - Innovation (CV)]]</f>
        <v>0</v>
      </c>
      <c r="F61" s="118">
        <f>InnovationProjectResults[[#This Row],[Communicate - Impact (CV)]]</f>
        <v>0</v>
      </c>
      <c r="G61" s="118">
        <f>InnovationProjectResults[[#This Row],[Communicate - Fun (CV)]]</f>
        <v>0</v>
      </c>
      <c r="H61" s="118">
        <f>'Robot Design Input'!D61</f>
        <v>0</v>
      </c>
      <c r="I61" s="118">
        <f>'Robot Design Input'!E61</f>
        <v>0</v>
      </c>
      <c r="J61" s="118">
        <f>RobotDesignResults[[#This Row],[Iterate - Improvements (CV)]]</f>
        <v>0</v>
      </c>
      <c r="K61" s="118">
        <f>RobotDesignResults[[#This Row],[Communicate - Impact (CV)]]</f>
        <v>0</v>
      </c>
      <c r="L61" s="118">
        <f>RobotDesignResults[[#This Row],[Communicate - Fun (CV)]]</f>
        <v>0</v>
      </c>
      <c r="M61" s="115"/>
      <c r="N61" s="115"/>
      <c r="O61" s="115"/>
      <c r="P61" s="115"/>
      <c r="Q61" s="115"/>
      <c r="R61" s="115" t="str">
        <f>IF(CoreValuesResults[[#This Row],[Gracious Professionalism 1]]="","",COUNTIF(CoreValuesResults[[#This Row],[Gracious Professionalism 1]:[Gracious Professionalism 5]],""))</f>
        <v/>
      </c>
      <c r="S61" s="115" t="str">
        <f>IF(CoreValuesResults[[#This Row],[Gracious Professionalism 1]]="","",SUM(CoreValuesResults[[#This Row],[Gracious Professionalism 1]:[Gracious Professionalism 5]]))</f>
        <v/>
      </c>
      <c r="T6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1" s="111">
        <f>SUM(CoreValuesResults[[#This Row],[Discovery (IP)]:[Fun (RD)]],CoreValuesResults[[#This Row],[Gracious Professionalism Score]])</f>
        <v>0</v>
      </c>
      <c r="V61" s="56">
        <f>IF(CoreValuesResults[[#This Row],[Team Number]]&gt;0,MIN(_xlfn.RANK.EQ(CoreValuesResults[[#This Row],[Core Values Score]],CoreValuesResults[Core Values Score],0),NumberOfTeams),NumberOfTeams+1)</f>
        <v>1</v>
      </c>
      <c r="W61" s="57"/>
      <c r="X61" s="57"/>
      <c r="Y61" s="57"/>
    </row>
    <row r="62" spans="1:25" ht="30" customHeight="1" x14ac:dyDescent="0.3">
      <c r="A62" s="115"/>
      <c r="B62" s="116" t="str">
        <f>IF(ISNA(INDEX(OfficialTeamList[Team Name],MATCH(CoreValuesResults[[#This Row],[Team Number]], OfficialTeamList[Team Number],0))),"",INDEX(OfficialTeamList[Team Name],MATCH(CoreValuesResults[[#This Row],[Team Number]], OfficialTeamList[Team Number],0)))</f>
        <v/>
      </c>
      <c r="C62" s="118">
        <f>'Innovation Project Input'!D62</f>
        <v>0</v>
      </c>
      <c r="D62" s="118">
        <f>InnovationProjectResults[[#This Row],[Design - Teamwork (CV)]]</f>
        <v>0</v>
      </c>
      <c r="E62" s="118">
        <f>InnovationProjectResults[[#This Row],[Create - Innovation (CV)]]</f>
        <v>0</v>
      </c>
      <c r="F62" s="118">
        <f>InnovationProjectResults[[#This Row],[Communicate - Impact (CV)]]</f>
        <v>0</v>
      </c>
      <c r="G62" s="118">
        <f>InnovationProjectResults[[#This Row],[Communicate - Fun (CV)]]</f>
        <v>0</v>
      </c>
      <c r="H62" s="118">
        <f>'Robot Design Input'!D62</f>
        <v>0</v>
      </c>
      <c r="I62" s="118">
        <f>'Robot Design Input'!E62</f>
        <v>0</v>
      </c>
      <c r="J62" s="118">
        <f>RobotDesignResults[[#This Row],[Iterate - Improvements (CV)]]</f>
        <v>0</v>
      </c>
      <c r="K62" s="118">
        <f>RobotDesignResults[[#This Row],[Communicate - Impact (CV)]]</f>
        <v>0</v>
      </c>
      <c r="L62" s="118">
        <f>RobotDesignResults[[#This Row],[Communicate - Fun (CV)]]</f>
        <v>0</v>
      </c>
      <c r="M62" s="115"/>
      <c r="N62" s="115"/>
      <c r="O62" s="115"/>
      <c r="P62" s="115"/>
      <c r="Q62" s="115"/>
      <c r="R62" s="115" t="str">
        <f>IF(CoreValuesResults[[#This Row],[Gracious Professionalism 1]]="","",COUNTIF(CoreValuesResults[[#This Row],[Gracious Professionalism 1]:[Gracious Professionalism 5]],""))</f>
        <v/>
      </c>
      <c r="S62" s="115" t="str">
        <f>IF(CoreValuesResults[[#This Row],[Gracious Professionalism 1]]="","",SUM(CoreValuesResults[[#This Row],[Gracious Professionalism 1]:[Gracious Professionalism 5]]))</f>
        <v/>
      </c>
      <c r="T6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2" s="111">
        <f>SUM(CoreValuesResults[[#This Row],[Discovery (IP)]:[Fun (RD)]],CoreValuesResults[[#This Row],[Gracious Professionalism Score]])</f>
        <v>0</v>
      </c>
      <c r="V62" s="56">
        <f>IF(CoreValuesResults[[#This Row],[Team Number]]&gt;0,MIN(_xlfn.RANK.EQ(CoreValuesResults[[#This Row],[Core Values Score]],CoreValuesResults[Core Values Score],0),NumberOfTeams),NumberOfTeams+1)</f>
        <v>1</v>
      </c>
      <c r="W62" s="57"/>
      <c r="X62" s="57"/>
      <c r="Y62" s="57"/>
    </row>
    <row r="63" spans="1:25" ht="30" customHeight="1" x14ac:dyDescent="0.3">
      <c r="A63" s="115"/>
      <c r="B63" s="116" t="str">
        <f>IF(ISNA(INDEX(OfficialTeamList[Team Name],MATCH(CoreValuesResults[[#This Row],[Team Number]], OfficialTeamList[Team Number],0))),"",INDEX(OfficialTeamList[Team Name],MATCH(CoreValuesResults[[#This Row],[Team Number]], OfficialTeamList[Team Number],0)))</f>
        <v/>
      </c>
      <c r="C63" s="118">
        <f>'Innovation Project Input'!D63</f>
        <v>0</v>
      </c>
      <c r="D63" s="118">
        <f>InnovationProjectResults[[#This Row],[Design - Teamwork (CV)]]</f>
        <v>0</v>
      </c>
      <c r="E63" s="118">
        <f>InnovationProjectResults[[#This Row],[Create - Innovation (CV)]]</f>
        <v>0</v>
      </c>
      <c r="F63" s="118">
        <f>InnovationProjectResults[[#This Row],[Communicate - Impact (CV)]]</f>
        <v>0</v>
      </c>
      <c r="G63" s="118">
        <f>InnovationProjectResults[[#This Row],[Communicate - Fun (CV)]]</f>
        <v>0</v>
      </c>
      <c r="H63" s="118">
        <f>'Robot Design Input'!D63</f>
        <v>0</v>
      </c>
      <c r="I63" s="118">
        <f>'Robot Design Input'!E63</f>
        <v>0</v>
      </c>
      <c r="J63" s="118">
        <f>RobotDesignResults[[#This Row],[Iterate - Improvements (CV)]]</f>
        <v>0</v>
      </c>
      <c r="K63" s="118">
        <f>RobotDesignResults[[#This Row],[Communicate - Impact (CV)]]</f>
        <v>0</v>
      </c>
      <c r="L63" s="118">
        <f>RobotDesignResults[[#This Row],[Communicate - Fun (CV)]]</f>
        <v>0</v>
      </c>
      <c r="M63" s="115"/>
      <c r="N63" s="115"/>
      <c r="O63" s="115"/>
      <c r="P63" s="115"/>
      <c r="Q63" s="115"/>
      <c r="R63" s="115" t="str">
        <f>IF(CoreValuesResults[[#This Row],[Gracious Professionalism 1]]="","",COUNTIF(CoreValuesResults[[#This Row],[Gracious Professionalism 1]:[Gracious Professionalism 5]],""))</f>
        <v/>
      </c>
      <c r="S63" s="115" t="str">
        <f>IF(CoreValuesResults[[#This Row],[Gracious Professionalism 1]]="","",SUM(CoreValuesResults[[#This Row],[Gracious Professionalism 1]:[Gracious Professionalism 5]]))</f>
        <v/>
      </c>
      <c r="T6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3" s="111">
        <f>SUM(CoreValuesResults[[#This Row],[Discovery (IP)]:[Fun (RD)]],CoreValuesResults[[#This Row],[Gracious Professionalism Score]])</f>
        <v>0</v>
      </c>
      <c r="V63" s="56">
        <f>IF(CoreValuesResults[[#This Row],[Team Number]]&gt;0,MIN(_xlfn.RANK.EQ(CoreValuesResults[[#This Row],[Core Values Score]],CoreValuesResults[Core Values Score],0),NumberOfTeams),NumberOfTeams+1)</f>
        <v>1</v>
      </c>
      <c r="W63" s="57"/>
      <c r="X63" s="57"/>
      <c r="Y63" s="57"/>
    </row>
    <row r="64" spans="1:25" ht="30" customHeight="1" x14ac:dyDescent="0.3">
      <c r="A64" s="115"/>
      <c r="B64" s="116" t="str">
        <f>IF(ISNA(INDEX(OfficialTeamList[Team Name],MATCH(CoreValuesResults[[#This Row],[Team Number]], OfficialTeamList[Team Number],0))),"",INDEX(OfficialTeamList[Team Name],MATCH(CoreValuesResults[[#This Row],[Team Number]], OfficialTeamList[Team Number],0)))</f>
        <v/>
      </c>
      <c r="C64" s="118">
        <f>'Innovation Project Input'!D64</f>
        <v>0</v>
      </c>
      <c r="D64" s="118">
        <f>InnovationProjectResults[[#This Row],[Design - Teamwork (CV)]]</f>
        <v>0</v>
      </c>
      <c r="E64" s="118">
        <f>InnovationProjectResults[[#This Row],[Create - Innovation (CV)]]</f>
        <v>0</v>
      </c>
      <c r="F64" s="118">
        <f>InnovationProjectResults[[#This Row],[Communicate - Impact (CV)]]</f>
        <v>0</v>
      </c>
      <c r="G64" s="118">
        <f>InnovationProjectResults[[#This Row],[Communicate - Fun (CV)]]</f>
        <v>0</v>
      </c>
      <c r="H64" s="118">
        <f>'Robot Design Input'!D64</f>
        <v>0</v>
      </c>
      <c r="I64" s="118">
        <f>'Robot Design Input'!E64</f>
        <v>0</v>
      </c>
      <c r="J64" s="118">
        <f>RobotDesignResults[[#This Row],[Iterate - Improvements (CV)]]</f>
        <v>0</v>
      </c>
      <c r="K64" s="118">
        <f>RobotDesignResults[[#This Row],[Communicate - Impact (CV)]]</f>
        <v>0</v>
      </c>
      <c r="L64" s="118">
        <f>RobotDesignResults[[#This Row],[Communicate - Fun (CV)]]</f>
        <v>0</v>
      </c>
      <c r="M64" s="115"/>
      <c r="N64" s="115"/>
      <c r="O64" s="115"/>
      <c r="P64" s="115"/>
      <c r="Q64" s="115"/>
      <c r="R64" s="115" t="str">
        <f>IF(CoreValuesResults[[#This Row],[Gracious Professionalism 1]]="","",COUNTIF(CoreValuesResults[[#This Row],[Gracious Professionalism 1]:[Gracious Professionalism 5]],""))</f>
        <v/>
      </c>
      <c r="S64" s="115" t="str">
        <f>IF(CoreValuesResults[[#This Row],[Gracious Professionalism 1]]="","",SUM(CoreValuesResults[[#This Row],[Gracious Professionalism 1]:[Gracious Professionalism 5]]))</f>
        <v/>
      </c>
      <c r="T6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4" s="111">
        <f>SUM(CoreValuesResults[[#This Row],[Discovery (IP)]:[Fun (RD)]],CoreValuesResults[[#This Row],[Gracious Professionalism Score]])</f>
        <v>0</v>
      </c>
      <c r="V64" s="56">
        <f>IF(CoreValuesResults[[#This Row],[Team Number]]&gt;0,MIN(_xlfn.RANK.EQ(CoreValuesResults[[#This Row],[Core Values Score]],CoreValuesResults[Core Values Score],0),NumberOfTeams),NumberOfTeams+1)</f>
        <v>1</v>
      </c>
      <c r="W64" s="57"/>
      <c r="X64" s="57"/>
      <c r="Y64" s="57"/>
    </row>
    <row r="65" spans="1:25" ht="30" customHeight="1" x14ac:dyDescent="0.3">
      <c r="A65" s="115"/>
      <c r="B65" s="116" t="str">
        <f>IF(ISNA(INDEX(OfficialTeamList[Team Name],MATCH(CoreValuesResults[[#This Row],[Team Number]], OfficialTeamList[Team Number],0))),"",INDEX(OfficialTeamList[Team Name],MATCH(CoreValuesResults[[#This Row],[Team Number]], OfficialTeamList[Team Number],0)))</f>
        <v/>
      </c>
      <c r="C65" s="118">
        <f>'Innovation Project Input'!D65</f>
        <v>0</v>
      </c>
      <c r="D65" s="118">
        <f>InnovationProjectResults[[#This Row],[Design - Teamwork (CV)]]</f>
        <v>0</v>
      </c>
      <c r="E65" s="118">
        <f>InnovationProjectResults[[#This Row],[Create - Innovation (CV)]]</f>
        <v>0</v>
      </c>
      <c r="F65" s="118">
        <f>InnovationProjectResults[[#This Row],[Communicate - Impact (CV)]]</f>
        <v>0</v>
      </c>
      <c r="G65" s="118">
        <f>InnovationProjectResults[[#This Row],[Communicate - Fun (CV)]]</f>
        <v>0</v>
      </c>
      <c r="H65" s="118">
        <f>'Robot Design Input'!D65</f>
        <v>0</v>
      </c>
      <c r="I65" s="118">
        <f>'Robot Design Input'!E65</f>
        <v>0</v>
      </c>
      <c r="J65" s="118">
        <f>RobotDesignResults[[#This Row],[Iterate - Improvements (CV)]]</f>
        <v>0</v>
      </c>
      <c r="K65" s="118">
        <f>RobotDesignResults[[#This Row],[Communicate - Impact (CV)]]</f>
        <v>0</v>
      </c>
      <c r="L65" s="118">
        <f>RobotDesignResults[[#This Row],[Communicate - Fun (CV)]]</f>
        <v>0</v>
      </c>
      <c r="M65" s="115"/>
      <c r="N65" s="115"/>
      <c r="O65" s="115"/>
      <c r="P65" s="115"/>
      <c r="Q65" s="115"/>
      <c r="R65" s="115" t="str">
        <f>IF(CoreValuesResults[[#This Row],[Gracious Professionalism 1]]="","",COUNTIF(CoreValuesResults[[#This Row],[Gracious Professionalism 1]:[Gracious Professionalism 5]],""))</f>
        <v/>
      </c>
      <c r="S65" s="115" t="str">
        <f>IF(CoreValuesResults[[#This Row],[Gracious Professionalism 1]]="","",SUM(CoreValuesResults[[#This Row],[Gracious Professionalism 1]:[Gracious Professionalism 5]]))</f>
        <v/>
      </c>
      <c r="T6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5" s="111">
        <f>SUM(CoreValuesResults[[#This Row],[Discovery (IP)]:[Fun (RD)]],CoreValuesResults[[#This Row],[Gracious Professionalism Score]])</f>
        <v>0</v>
      </c>
      <c r="V65" s="56">
        <f>IF(CoreValuesResults[[#This Row],[Team Number]]&gt;0,MIN(_xlfn.RANK.EQ(CoreValuesResults[[#This Row],[Core Values Score]],CoreValuesResults[Core Values Score],0),NumberOfTeams),NumberOfTeams+1)</f>
        <v>1</v>
      </c>
      <c r="W65" s="57"/>
      <c r="X65" s="57"/>
      <c r="Y65" s="57"/>
    </row>
    <row r="66" spans="1:25" ht="30" customHeight="1" x14ac:dyDescent="0.3">
      <c r="A66" s="115"/>
      <c r="B66" s="116" t="str">
        <f>IF(ISNA(INDEX(OfficialTeamList[Team Name],MATCH(CoreValuesResults[[#This Row],[Team Number]], OfficialTeamList[Team Number],0))),"",INDEX(OfficialTeamList[Team Name],MATCH(CoreValuesResults[[#This Row],[Team Number]], OfficialTeamList[Team Number],0)))</f>
        <v/>
      </c>
      <c r="C66" s="118">
        <f>'Innovation Project Input'!D66</f>
        <v>0</v>
      </c>
      <c r="D66" s="118">
        <f>InnovationProjectResults[[#This Row],[Design - Teamwork (CV)]]</f>
        <v>0</v>
      </c>
      <c r="E66" s="118">
        <f>InnovationProjectResults[[#This Row],[Create - Innovation (CV)]]</f>
        <v>0</v>
      </c>
      <c r="F66" s="118">
        <f>InnovationProjectResults[[#This Row],[Communicate - Impact (CV)]]</f>
        <v>0</v>
      </c>
      <c r="G66" s="118">
        <f>InnovationProjectResults[[#This Row],[Communicate - Fun (CV)]]</f>
        <v>0</v>
      </c>
      <c r="H66" s="118">
        <f>'Robot Design Input'!D66</f>
        <v>0</v>
      </c>
      <c r="I66" s="118">
        <f>'Robot Design Input'!E66</f>
        <v>0</v>
      </c>
      <c r="J66" s="118">
        <f>RobotDesignResults[[#This Row],[Iterate - Improvements (CV)]]</f>
        <v>0</v>
      </c>
      <c r="K66" s="118">
        <f>RobotDesignResults[[#This Row],[Communicate - Impact (CV)]]</f>
        <v>0</v>
      </c>
      <c r="L66" s="118">
        <f>RobotDesignResults[[#This Row],[Communicate - Fun (CV)]]</f>
        <v>0</v>
      </c>
      <c r="M66" s="115"/>
      <c r="N66" s="115"/>
      <c r="O66" s="115"/>
      <c r="P66" s="115"/>
      <c r="Q66" s="115"/>
      <c r="R66" s="115" t="str">
        <f>IF(CoreValuesResults[[#This Row],[Gracious Professionalism 1]]="","",COUNTIF(CoreValuesResults[[#This Row],[Gracious Professionalism 1]:[Gracious Professionalism 5]],""))</f>
        <v/>
      </c>
      <c r="S66" s="115" t="str">
        <f>IF(CoreValuesResults[[#This Row],[Gracious Professionalism 1]]="","",SUM(CoreValuesResults[[#This Row],[Gracious Professionalism 1]:[Gracious Professionalism 5]]))</f>
        <v/>
      </c>
      <c r="T6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6" s="111">
        <f>SUM(CoreValuesResults[[#This Row],[Discovery (IP)]:[Fun (RD)]],CoreValuesResults[[#This Row],[Gracious Professionalism Score]])</f>
        <v>0</v>
      </c>
      <c r="V66" s="56">
        <f>IF(CoreValuesResults[[#This Row],[Team Number]]&gt;0,MIN(_xlfn.RANK.EQ(CoreValuesResults[[#This Row],[Core Values Score]],CoreValuesResults[Core Values Score],0),NumberOfTeams),NumberOfTeams+1)</f>
        <v>1</v>
      </c>
      <c r="W66" s="57"/>
      <c r="X66" s="57"/>
      <c r="Y66" s="57"/>
    </row>
    <row r="67" spans="1:25" ht="30" customHeight="1" x14ac:dyDescent="0.3">
      <c r="A67" s="115"/>
      <c r="B67" s="116" t="str">
        <f>IF(ISNA(INDEX(OfficialTeamList[Team Name],MATCH(CoreValuesResults[[#This Row],[Team Number]], OfficialTeamList[Team Number],0))),"",INDEX(OfficialTeamList[Team Name],MATCH(CoreValuesResults[[#This Row],[Team Number]], OfficialTeamList[Team Number],0)))</f>
        <v/>
      </c>
      <c r="C67" s="118">
        <f>'Innovation Project Input'!D67</f>
        <v>0</v>
      </c>
      <c r="D67" s="118">
        <f>InnovationProjectResults[[#This Row],[Design - Teamwork (CV)]]</f>
        <v>0</v>
      </c>
      <c r="E67" s="118">
        <f>InnovationProjectResults[[#This Row],[Create - Innovation (CV)]]</f>
        <v>0</v>
      </c>
      <c r="F67" s="118">
        <f>InnovationProjectResults[[#This Row],[Communicate - Impact (CV)]]</f>
        <v>0</v>
      </c>
      <c r="G67" s="118">
        <f>InnovationProjectResults[[#This Row],[Communicate - Fun (CV)]]</f>
        <v>0</v>
      </c>
      <c r="H67" s="118">
        <f>'Robot Design Input'!D67</f>
        <v>0</v>
      </c>
      <c r="I67" s="118">
        <f>'Robot Design Input'!E67</f>
        <v>0</v>
      </c>
      <c r="J67" s="118">
        <f>RobotDesignResults[[#This Row],[Iterate - Improvements (CV)]]</f>
        <v>0</v>
      </c>
      <c r="K67" s="118">
        <f>RobotDesignResults[[#This Row],[Communicate - Impact (CV)]]</f>
        <v>0</v>
      </c>
      <c r="L67" s="118">
        <f>RobotDesignResults[[#This Row],[Communicate - Fun (CV)]]</f>
        <v>0</v>
      </c>
      <c r="M67" s="115"/>
      <c r="N67" s="115"/>
      <c r="O67" s="115"/>
      <c r="P67" s="115"/>
      <c r="Q67" s="115"/>
      <c r="R67" s="115" t="str">
        <f>IF(CoreValuesResults[[#This Row],[Gracious Professionalism 1]]="","",COUNTIF(CoreValuesResults[[#This Row],[Gracious Professionalism 1]:[Gracious Professionalism 5]],""))</f>
        <v/>
      </c>
      <c r="S67" s="115" t="str">
        <f>IF(CoreValuesResults[[#This Row],[Gracious Professionalism 1]]="","",SUM(CoreValuesResults[[#This Row],[Gracious Professionalism 1]:[Gracious Professionalism 5]]))</f>
        <v/>
      </c>
      <c r="T6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7" s="111">
        <f>SUM(CoreValuesResults[[#This Row],[Discovery (IP)]:[Fun (RD)]],CoreValuesResults[[#This Row],[Gracious Professionalism Score]])</f>
        <v>0</v>
      </c>
      <c r="V67" s="56">
        <f>IF(CoreValuesResults[[#This Row],[Team Number]]&gt;0,MIN(_xlfn.RANK.EQ(CoreValuesResults[[#This Row],[Core Values Score]],CoreValuesResults[Core Values Score],0),NumberOfTeams),NumberOfTeams+1)</f>
        <v>1</v>
      </c>
      <c r="W67" s="57"/>
      <c r="X67" s="57"/>
      <c r="Y67" s="57"/>
    </row>
    <row r="68" spans="1:25" ht="30" customHeight="1" x14ac:dyDescent="0.3">
      <c r="A68" s="115"/>
      <c r="B68" s="116" t="str">
        <f>IF(ISNA(INDEX(OfficialTeamList[Team Name],MATCH(CoreValuesResults[[#This Row],[Team Number]], OfficialTeamList[Team Number],0))),"",INDEX(OfficialTeamList[Team Name],MATCH(CoreValuesResults[[#This Row],[Team Number]], OfficialTeamList[Team Number],0)))</f>
        <v/>
      </c>
      <c r="C68" s="118">
        <f>'Innovation Project Input'!D68</f>
        <v>0</v>
      </c>
      <c r="D68" s="118">
        <f>InnovationProjectResults[[#This Row],[Design - Teamwork (CV)]]</f>
        <v>0</v>
      </c>
      <c r="E68" s="118">
        <f>InnovationProjectResults[[#This Row],[Create - Innovation (CV)]]</f>
        <v>0</v>
      </c>
      <c r="F68" s="118">
        <f>InnovationProjectResults[[#This Row],[Communicate - Impact (CV)]]</f>
        <v>0</v>
      </c>
      <c r="G68" s="118">
        <f>InnovationProjectResults[[#This Row],[Communicate - Fun (CV)]]</f>
        <v>0</v>
      </c>
      <c r="H68" s="118">
        <f>'Robot Design Input'!D68</f>
        <v>0</v>
      </c>
      <c r="I68" s="118">
        <f>'Robot Design Input'!E68</f>
        <v>0</v>
      </c>
      <c r="J68" s="118">
        <f>RobotDesignResults[[#This Row],[Iterate - Improvements (CV)]]</f>
        <v>0</v>
      </c>
      <c r="K68" s="118">
        <f>RobotDesignResults[[#This Row],[Communicate - Impact (CV)]]</f>
        <v>0</v>
      </c>
      <c r="L68" s="118">
        <f>RobotDesignResults[[#This Row],[Communicate - Fun (CV)]]</f>
        <v>0</v>
      </c>
      <c r="M68" s="115"/>
      <c r="N68" s="115"/>
      <c r="O68" s="115"/>
      <c r="P68" s="115"/>
      <c r="Q68" s="115"/>
      <c r="R68" s="115" t="str">
        <f>IF(CoreValuesResults[[#This Row],[Gracious Professionalism 1]]="","",COUNTIF(CoreValuesResults[[#This Row],[Gracious Professionalism 1]:[Gracious Professionalism 5]],""))</f>
        <v/>
      </c>
      <c r="S68" s="115" t="str">
        <f>IF(CoreValuesResults[[#This Row],[Gracious Professionalism 1]]="","",SUM(CoreValuesResults[[#This Row],[Gracious Professionalism 1]:[Gracious Professionalism 5]]))</f>
        <v/>
      </c>
      <c r="T6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8" s="111">
        <f>SUM(CoreValuesResults[[#This Row],[Discovery (IP)]:[Fun (RD)]],CoreValuesResults[[#This Row],[Gracious Professionalism Score]])</f>
        <v>0</v>
      </c>
      <c r="V68" s="56">
        <f>IF(CoreValuesResults[[#This Row],[Team Number]]&gt;0,MIN(_xlfn.RANK.EQ(CoreValuesResults[[#This Row],[Core Values Score]],CoreValuesResults[Core Values Score],0),NumberOfTeams),NumberOfTeams+1)</f>
        <v>1</v>
      </c>
      <c r="W68" s="57"/>
      <c r="X68" s="57"/>
      <c r="Y68" s="57"/>
    </row>
    <row r="69" spans="1:25" ht="30" customHeight="1" x14ac:dyDescent="0.3">
      <c r="A69" s="115"/>
      <c r="B69" s="116" t="str">
        <f>IF(ISNA(INDEX(OfficialTeamList[Team Name],MATCH(CoreValuesResults[[#This Row],[Team Number]], OfficialTeamList[Team Number],0))),"",INDEX(OfficialTeamList[Team Name],MATCH(CoreValuesResults[[#This Row],[Team Number]], OfficialTeamList[Team Number],0)))</f>
        <v/>
      </c>
      <c r="C69" s="118">
        <f>'Innovation Project Input'!D69</f>
        <v>0</v>
      </c>
      <c r="D69" s="118">
        <f>InnovationProjectResults[[#This Row],[Design - Teamwork (CV)]]</f>
        <v>0</v>
      </c>
      <c r="E69" s="118">
        <f>InnovationProjectResults[[#This Row],[Create - Innovation (CV)]]</f>
        <v>0</v>
      </c>
      <c r="F69" s="118">
        <f>InnovationProjectResults[[#This Row],[Communicate - Impact (CV)]]</f>
        <v>0</v>
      </c>
      <c r="G69" s="118">
        <f>InnovationProjectResults[[#This Row],[Communicate - Fun (CV)]]</f>
        <v>0</v>
      </c>
      <c r="H69" s="118">
        <f>'Robot Design Input'!D69</f>
        <v>0</v>
      </c>
      <c r="I69" s="118">
        <f>'Robot Design Input'!E69</f>
        <v>0</v>
      </c>
      <c r="J69" s="118">
        <f>RobotDesignResults[[#This Row],[Iterate - Improvements (CV)]]</f>
        <v>0</v>
      </c>
      <c r="K69" s="118">
        <f>RobotDesignResults[[#This Row],[Communicate - Impact (CV)]]</f>
        <v>0</v>
      </c>
      <c r="L69" s="118">
        <f>RobotDesignResults[[#This Row],[Communicate - Fun (CV)]]</f>
        <v>0</v>
      </c>
      <c r="M69" s="115"/>
      <c r="N69" s="115"/>
      <c r="O69" s="115"/>
      <c r="P69" s="115"/>
      <c r="Q69" s="115"/>
      <c r="R69" s="115" t="str">
        <f>IF(CoreValuesResults[[#This Row],[Gracious Professionalism 1]]="","",COUNTIF(CoreValuesResults[[#This Row],[Gracious Professionalism 1]:[Gracious Professionalism 5]],""))</f>
        <v/>
      </c>
      <c r="S69" s="115" t="str">
        <f>IF(CoreValuesResults[[#This Row],[Gracious Professionalism 1]]="","",SUM(CoreValuesResults[[#This Row],[Gracious Professionalism 1]:[Gracious Professionalism 5]]))</f>
        <v/>
      </c>
      <c r="T6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9" s="111">
        <f>SUM(CoreValuesResults[[#This Row],[Discovery (IP)]:[Fun (RD)]],CoreValuesResults[[#This Row],[Gracious Professionalism Score]])</f>
        <v>0</v>
      </c>
      <c r="V69" s="56">
        <f>IF(CoreValuesResults[[#This Row],[Team Number]]&gt;0,MIN(_xlfn.RANK.EQ(CoreValuesResults[[#This Row],[Core Values Score]],CoreValuesResults[Core Values Score],0),NumberOfTeams),NumberOfTeams+1)</f>
        <v>1</v>
      </c>
      <c r="W69" s="57"/>
      <c r="X69" s="57"/>
      <c r="Y69" s="57"/>
    </row>
    <row r="70" spans="1:25" ht="30" customHeight="1" x14ac:dyDescent="0.3">
      <c r="A70" s="115"/>
      <c r="B70" s="116" t="str">
        <f>IF(ISNA(INDEX(OfficialTeamList[Team Name],MATCH(CoreValuesResults[[#This Row],[Team Number]], OfficialTeamList[Team Number],0))),"",INDEX(OfficialTeamList[Team Name],MATCH(CoreValuesResults[[#This Row],[Team Number]], OfficialTeamList[Team Number],0)))</f>
        <v/>
      </c>
      <c r="C70" s="118">
        <f>'Innovation Project Input'!D70</f>
        <v>0</v>
      </c>
      <c r="D70" s="118">
        <f>InnovationProjectResults[[#This Row],[Design - Teamwork (CV)]]</f>
        <v>0</v>
      </c>
      <c r="E70" s="118">
        <f>InnovationProjectResults[[#This Row],[Create - Innovation (CV)]]</f>
        <v>0</v>
      </c>
      <c r="F70" s="118">
        <f>InnovationProjectResults[[#This Row],[Communicate - Impact (CV)]]</f>
        <v>0</v>
      </c>
      <c r="G70" s="118">
        <f>InnovationProjectResults[[#This Row],[Communicate - Fun (CV)]]</f>
        <v>0</v>
      </c>
      <c r="H70" s="118">
        <f>'Robot Design Input'!D70</f>
        <v>0</v>
      </c>
      <c r="I70" s="118">
        <f>'Robot Design Input'!E70</f>
        <v>0</v>
      </c>
      <c r="J70" s="118">
        <f>RobotDesignResults[[#This Row],[Iterate - Improvements (CV)]]</f>
        <v>0</v>
      </c>
      <c r="K70" s="118">
        <f>RobotDesignResults[[#This Row],[Communicate - Impact (CV)]]</f>
        <v>0</v>
      </c>
      <c r="L70" s="118">
        <f>RobotDesignResults[[#This Row],[Communicate - Fun (CV)]]</f>
        <v>0</v>
      </c>
      <c r="M70" s="115"/>
      <c r="N70" s="115"/>
      <c r="O70" s="115"/>
      <c r="P70" s="115"/>
      <c r="Q70" s="115"/>
      <c r="R70" s="115" t="str">
        <f>IF(CoreValuesResults[[#This Row],[Gracious Professionalism 1]]="","",COUNTIF(CoreValuesResults[[#This Row],[Gracious Professionalism 1]:[Gracious Professionalism 5]],""))</f>
        <v/>
      </c>
      <c r="S70" s="115" t="str">
        <f>IF(CoreValuesResults[[#This Row],[Gracious Professionalism 1]]="","",SUM(CoreValuesResults[[#This Row],[Gracious Professionalism 1]:[Gracious Professionalism 5]]))</f>
        <v/>
      </c>
      <c r="T7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0" s="111">
        <f>SUM(CoreValuesResults[[#This Row],[Discovery (IP)]:[Fun (RD)]],CoreValuesResults[[#This Row],[Gracious Professionalism Score]])</f>
        <v>0</v>
      </c>
      <c r="V70" s="56">
        <f>IF(CoreValuesResults[[#This Row],[Team Number]]&gt;0,MIN(_xlfn.RANK.EQ(CoreValuesResults[[#This Row],[Core Values Score]],CoreValuesResults[Core Values Score],0),NumberOfTeams),NumberOfTeams+1)</f>
        <v>1</v>
      </c>
      <c r="W70" s="57"/>
      <c r="X70" s="57"/>
      <c r="Y70" s="57"/>
    </row>
    <row r="71" spans="1:25" ht="30" customHeight="1" x14ac:dyDescent="0.3">
      <c r="A71" s="115"/>
      <c r="B71" s="116" t="str">
        <f>IF(ISNA(INDEX(OfficialTeamList[Team Name],MATCH(CoreValuesResults[[#This Row],[Team Number]], OfficialTeamList[Team Number],0))),"",INDEX(OfficialTeamList[Team Name],MATCH(CoreValuesResults[[#This Row],[Team Number]], OfficialTeamList[Team Number],0)))</f>
        <v/>
      </c>
      <c r="C71" s="118">
        <f>'Innovation Project Input'!D71</f>
        <v>0</v>
      </c>
      <c r="D71" s="118">
        <f>InnovationProjectResults[[#This Row],[Design - Teamwork (CV)]]</f>
        <v>0</v>
      </c>
      <c r="E71" s="118">
        <f>InnovationProjectResults[[#This Row],[Create - Innovation (CV)]]</f>
        <v>0</v>
      </c>
      <c r="F71" s="118">
        <f>InnovationProjectResults[[#This Row],[Communicate - Impact (CV)]]</f>
        <v>0</v>
      </c>
      <c r="G71" s="118">
        <f>InnovationProjectResults[[#This Row],[Communicate - Fun (CV)]]</f>
        <v>0</v>
      </c>
      <c r="H71" s="118">
        <f>'Robot Design Input'!D71</f>
        <v>0</v>
      </c>
      <c r="I71" s="118">
        <f>'Robot Design Input'!E71</f>
        <v>0</v>
      </c>
      <c r="J71" s="118">
        <f>RobotDesignResults[[#This Row],[Iterate - Improvements (CV)]]</f>
        <v>0</v>
      </c>
      <c r="K71" s="118">
        <f>RobotDesignResults[[#This Row],[Communicate - Impact (CV)]]</f>
        <v>0</v>
      </c>
      <c r="L71" s="118">
        <f>RobotDesignResults[[#This Row],[Communicate - Fun (CV)]]</f>
        <v>0</v>
      </c>
      <c r="M71" s="115"/>
      <c r="N71" s="115"/>
      <c r="O71" s="115"/>
      <c r="P71" s="115"/>
      <c r="Q71" s="115"/>
      <c r="R71" s="115" t="str">
        <f>IF(CoreValuesResults[[#This Row],[Gracious Professionalism 1]]="","",COUNTIF(CoreValuesResults[[#This Row],[Gracious Professionalism 1]:[Gracious Professionalism 5]],""))</f>
        <v/>
      </c>
      <c r="S71" s="115" t="str">
        <f>IF(CoreValuesResults[[#This Row],[Gracious Professionalism 1]]="","",SUM(CoreValuesResults[[#This Row],[Gracious Professionalism 1]:[Gracious Professionalism 5]]))</f>
        <v/>
      </c>
      <c r="T7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1" s="111">
        <f>SUM(CoreValuesResults[[#This Row],[Discovery (IP)]:[Fun (RD)]],CoreValuesResults[[#This Row],[Gracious Professionalism Score]])</f>
        <v>0</v>
      </c>
      <c r="V71" s="56">
        <f>IF(CoreValuesResults[[#This Row],[Team Number]]&gt;0,MIN(_xlfn.RANK.EQ(CoreValuesResults[[#This Row],[Core Values Score]],CoreValuesResults[Core Values Score],0),NumberOfTeams),NumberOfTeams+1)</f>
        <v>1</v>
      </c>
      <c r="W71" s="57"/>
      <c r="X71" s="57"/>
      <c r="Y71" s="57"/>
    </row>
    <row r="72" spans="1:25" ht="30" customHeight="1" x14ac:dyDescent="0.3">
      <c r="A72" s="115"/>
      <c r="B72" s="116" t="str">
        <f>IF(ISNA(INDEX(OfficialTeamList[Team Name],MATCH(CoreValuesResults[[#This Row],[Team Number]], OfficialTeamList[Team Number],0))),"",INDEX(OfficialTeamList[Team Name],MATCH(CoreValuesResults[[#This Row],[Team Number]], OfficialTeamList[Team Number],0)))</f>
        <v/>
      </c>
      <c r="C72" s="118">
        <f>'Innovation Project Input'!D72</f>
        <v>0</v>
      </c>
      <c r="D72" s="118">
        <f>InnovationProjectResults[[#This Row],[Design - Teamwork (CV)]]</f>
        <v>0</v>
      </c>
      <c r="E72" s="118">
        <f>InnovationProjectResults[[#This Row],[Create - Innovation (CV)]]</f>
        <v>0</v>
      </c>
      <c r="F72" s="118">
        <f>InnovationProjectResults[[#This Row],[Communicate - Impact (CV)]]</f>
        <v>0</v>
      </c>
      <c r="G72" s="118">
        <f>InnovationProjectResults[[#This Row],[Communicate - Fun (CV)]]</f>
        <v>0</v>
      </c>
      <c r="H72" s="118">
        <f>'Robot Design Input'!D72</f>
        <v>0</v>
      </c>
      <c r="I72" s="118">
        <f>'Robot Design Input'!E72</f>
        <v>0</v>
      </c>
      <c r="J72" s="118">
        <f>RobotDesignResults[[#This Row],[Iterate - Improvements (CV)]]</f>
        <v>0</v>
      </c>
      <c r="K72" s="118">
        <f>RobotDesignResults[[#This Row],[Communicate - Impact (CV)]]</f>
        <v>0</v>
      </c>
      <c r="L72" s="118">
        <f>RobotDesignResults[[#This Row],[Communicate - Fun (CV)]]</f>
        <v>0</v>
      </c>
      <c r="M72" s="115"/>
      <c r="N72" s="115"/>
      <c r="O72" s="115"/>
      <c r="P72" s="115"/>
      <c r="Q72" s="115"/>
      <c r="R72" s="115" t="str">
        <f>IF(CoreValuesResults[[#This Row],[Gracious Professionalism 1]]="","",COUNTIF(CoreValuesResults[[#This Row],[Gracious Professionalism 1]:[Gracious Professionalism 5]],""))</f>
        <v/>
      </c>
      <c r="S72" s="115" t="str">
        <f>IF(CoreValuesResults[[#This Row],[Gracious Professionalism 1]]="","",SUM(CoreValuesResults[[#This Row],[Gracious Professionalism 1]:[Gracious Professionalism 5]]))</f>
        <v/>
      </c>
      <c r="T7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2" s="111">
        <f>SUM(CoreValuesResults[[#This Row],[Discovery (IP)]:[Fun (RD)]],CoreValuesResults[[#This Row],[Gracious Professionalism Score]])</f>
        <v>0</v>
      </c>
      <c r="V72" s="56">
        <f>IF(CoreValuesResults[[#This Row],[Team Number]]&gt;0,MIN(_xlfn.RANK.EQ(CoreValuesResults[[#This Row],[Core Values Score]],CoreValuesResults[Core Values Score],0),NumberOfTeams),NumberOfTeams+1)</f>
        <v>1</v>
      </c>
      <c r="W72" s="57"/>
      <c r="X72" s="57"/>
      <c r="Y72" s="57"/>
    </row>
    <row r="73" spans="1:25" ht="30" customHeight="1" x14ac:dyDescent="0.3">
      <c r="A73" s="115"/>
      <c r="B73" s="116" t="str">
        <f>IF(ISNA(INDEX(OfficialTeamList[Team Name],MATCH(CoreValuesResults[[#This Row],[Team Number]], OfficialTeamList[Team Number],0))),"",INDEX(OfficialTeamList[Team Name],MATCH(CoreValuesResults[[#This Row],[Team Number]], OfficialTeamList[Team Number],0)))</f>
        <v/>
      </c>
      <c r="C73" s="118">
        <f>'Innovation Project Input'!D73</f>
        <v>0</v>
      </c>
      <c r="D73" s="118">
        <f>InnovationProjectResults[[#This Row],[Design - Teamwork (CV)]]</f>
        <v>0</v>
      </c>
      <c r="E73" s="118">
        <f>InnovationProjectResults[[#This Row],[Create - Innovation (CV)]]</f>
        <v>0</v>
      </c>
      <c r="F73" s="118">
        <f>InnovationProjectResults[[#This Row],[Communicate - Impact (CV)]]</f>
        <v>0</v>
      </c>
      <c r="G73" s="118">
        <f>InnovationProjectResults[[#This Row],[Communicate - Fun (CV)]]</f>
        <v>0</v>
      </c>
      <c r="H73" s="118">
        <f>'Robot Design Input'!D73</f>
        <v>0</v>
      </c>
      <c r="I73" s="118">
        <f>'Robot Design Input'!E73</f>
        <v>0</v>
      </c>
      <c r="J73" s="118">
        <f>RobotDesignResults[[#This Row],[Iterate - Improvements (CV)]]</f>
        <v>0</v>
      </c>
      <c r="K73" s="118">
        <f>RobotDesignResults[[#This Row],[Communicate - Impact (CV)]]</f>
        <v>0</v>
      </c>
      <c r="L73" s="118">
        <f>RobotDesignResults[[#This Row],[Communicate - Fun (CV)]]</f>
        <v>0</v>
      </c>
      <c r="M73" s="115"/>
      <c r="N73" s="115"/>
      <c r="O73" s="115"/>
      <c r="P73" s="115"/>
      <c r="Q73" s="115"/>
      <c r="R73" s="115" t="str">
        <f>IF(CoreValuesResults[[#This Row],[Gracious Professionalism 1]]="","",COUNTIF(CoreValuesResults[[#This Row],[Gracious Professionalism 1]:[Gracious Professionalism 5]],""))</f>
        <v/>
      </c>
      <c r="S73" s="115" t="str">
        <f>IF(CoreValuesResults[[#This Row],[Gracious Professionalism 1]]="","",SUM(CoreValuesResults[[#This Row],[Gracious Professionalism 1]:[Gracious Professionalism 5]]))</f>
        <v/>
      </c>
      <c r="T7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3" s="111">
        <f>SUM(CoreValuesResults[[#This Row],[Discovery (IP)]:[Fun (RD)]],CoreValuesResults[[#This Row],[Gracious Professionalism Score]])</f>
        <v>0</v>
      </c>
      <c r="V73" s="56">
        <f>IF(CoreValuesResults[[#This Row],[Team Number]]&gt;0,MIN(_xlfn.RANK.EQ(CoreValuesResults[[#This Row],[Core Values Score]],CoreValuesResults[Core Values Score],0),NumberOfTeams),NumberOfTeams+1)</f>
        <v>1</v>
      </c>
      <c r="W73" s="57"/>
      <c r="X73" s="57"/>
      <c r="Y73" s="57"/>
    </row>
    <row r="74" spans="1:25" ht="30" customHeight="1" x14ac:dyDescent="0.3">
      <c r="A74" s="115"/>
      <c r="B74" s="116" t="str">
        <f>IF(ISNA(INDEX(OfficialTeamList[Team Name],MATCH(CoreValuesResults[[#This Row],[Team Number]], OfficialTeamList[Team Number],0))),"",INDEX(OfficialTeamList[Team Name],MATCH(CoreValuesResults[[#This Row],[Team Number]], OfficialTeamList[Team Number],0)))</f>
        <v/>
      </c>
      <c r="C74" s="118">
        <f>'Innovation Project Input'!D74</f>
        <v>0</v>
      </c>
      <c r="D74" s="118">
        <f>InnovationProjectResults[[#This Row],[Design - Teamwork (CV)]]</f>
        <v>0</v>
      </c>
      <c r="E74" s="118">
        <f>InnovationProjectResults[[#This Row],[Create - Innovation (CV)]]</f>
        <v>0</v>
      </c>
      <c r="F74" s="118">
        <f>InnovationProjectResults[[#This Row],[Communicate - Impact (CV)]]</f>
        <v>0</v>
      </c>
      <c r="G74" s="118">
        <f>InnovationProjectResults[[#This Row],[Communicate - Fun (CV)]]</f>
        <v>0</v>
      </c>
      <c r="H74" s="118">
        <f>'Robot Design Input'!D74</f>
        <v>0</v>
      </c>
      <c r="I74" s="118">
        <f>'Robot Design Input'!E74</f>
        <v>0</v>
      </c>
      <c r="J74" s="118">
        <f>RobotDesignResults[[#This Row],[Iterate - Improvements (CV)]]</f>
        <v>0</v>
      </c>
      <c r="K74" s="118">
        <f>RobotDesignResults[[#This Row],[Communicate - Impact (CV)]]</f>
        <v>0</v>
      </c>
      <c r="L74" s="118">
        <f>RobotDesignResults[[#This Row],[Communicate - Fun (CV)]]</f>
        <v>0</v>
      </c>
      <c r="M74" s="115"/>
      <c r="N74" s="115"/>
      <c r="O74" s="115"/>
      <c r="P74" s="115"/>
      <c r="Q74" s="115"/>
      <c r="R74" s="115" t="str">
        <f>IF(CoreValuesResults[[#This Row],[Gracious Professionalism 1]]="","",COUNTIF(CoreValuesResults[[#This Row],[Gracious Professionalism 1]:[Gracious Professionalism 5]],""))</f>
        <v/>
      </c>
      <c r="S74" s="115" t="str">
        <f>IF(CoreValuesResults[[#This Row],[Gracious Professionalism 1]]="","",SUM(CoreValuesResults[[#This Row],[Gracious Professionalism 1]:[Gracious Professionalism 5]]))</f>
        <v/>
      </c>
      <c r="T7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4" s="111">
        <f>SUM(CoreValuesResults[[#This Row],[Discovery (IP)]:[Fun (RD)]],CoreValuesResults[[#This Row],[Gracious Professionalism Score]])</f>
        <v>0</v>
      </c>
      <c r="V74" s="56">
        <f>IF(CoreValuesResults[[#This Row],[Team Number]]&gt;0,MIN(_xlfn.RANK.EQ(CoreValuesResults[[#This Row],[Core Values Score]],CoreValuesResults[Core Values Score],0),NumberOfTeams),NumberOfTeams+1)</f>
        <v>1</v>
      </c>
      <c r="W74" s="57"/>
      <c r="X74" s="57"/>
      <c r="Y74" s="57"/>
    </row>
    <row r="75" spans="1:25" ht="30" customHeight="1" x14ac:dyDescent="0.3">
      <c r="A75" s="115"/>
      <c r="B75" s="116" t="str">
        <f>IF(ISNA(INDEX(OfficialTeamList[Team Name],MATCH(CoreValuesResults[[#This Row],[Team Number]], OfficialTeamList[Team Number],0))),"",INDEX(OfficialTeamList[Team Name],MATCH(CoreValuesResults[[#This Row],[Team Number]], OfficialTeamList[Team Number],0)))</f>
        <v/>
      </c>
      <c r="C75" s="118">
        <f>'Innovation Project Input'!D75</f>
        <v>0</v>
      </c>
      <c r="D75" s="118">
        <f>InnovationProjectResults[[#This Row],[Design - Teamwork (CV)]]</f>
        <v>0</v>
      </c>
      <c r="E75" s="118">
        <f>InnovationProjectResults[[#This Row],[Create - Innovation (CV)]]</f>
        <v>0</v>
      </c>
      <c r="F75" s="118">
        <f>InnovationProjectResults[[#This Row],[Communicate - Impact (CV)]]</f>
        <v>0</v>
      </c>
      <c r="G75" s="118">
        <f>InnovationProjectResults[[#This Row],[Communicate - Fun (CV)]]</f>
        <v>0</v>
      </c>
      <c r="H75" s="118">
        <f>'Robot Design Input'!D75</f>
        <v>0</v>
      </c>
      <c r="I75" s="118">
        <f>'Robot Design Input'!E75</f>
        <v>0</v>
      </c>
      <c r="J75" s="118">
        <f>RobotDesignResults[[#This Row],[Iterate - Improvements (CV)]]</f>
        <v>0</v>
      </c>
      <c r="K75" s="118">
        <f>RobotDesignResults[[#This Row],[Communicate - Impact (CV)]]</f>
        <v>0</v>
      </c>
      <c r="L75" s="118">
        <f>RobotDesignResults[[#This Row],[Communicate - Fun (CV)]]</f>
        <v>0</v>
      </c>
      <c r="M75" s="115"/>
      <c r="N75" s="115"/>
      <c r="O75" s="115"/>
      <c r="P75" s="115"/>
      <c r="Q75" s="115"/>
      <c r="R75" s="115" t="str">
        <f>IF(CoreValuesResults[[#This Row],[Gracious Professionalism 1]]="","",COUNTIF(CoreValuesResults[[#This Row],[Gracious Professionalism 1]:[Gracious Professionalism 5]],""))</f>
        <v/>
      </c>
      <c r="S75" s="115" t="str">
        <f>IF(CoreValuesResults[[#This Row],[Gracious Professionalism 1]]="","",SUM(CoreValuesResults[[#This Row],[Gracious Professionalism 1]:[Gracious Professionalism 5]]))</f>
        <v/>
      </c>
      <c r="T7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5" s="111">
        <f>SUM(CoreValuesResults[[#This Row],[Discovery (IP)]:[Fun (RD)]],CoreValuesResults[[#This Row],[Gracious Professionalism Score]])</f>
        <v>0</v>
      </c>
      <c r="V75" s="56">
        <f>IF(CoreValuesResults[[#This Row],[Team Number]]&gt;0,MIN(_xlfn.RANK.EQ(CoreValuesResults[[#This Row],[Core Values Score]],CoreValuesResults[Core Values Score],0),NumberOfTeams),NumberOfTeams+1)</f>
        <v>1</v>
      </c>
      <c r="W75" s="57"/>
      <c r="X75" s="57"/>
      <c r="Y75" s="57"/>
    </row>
    <row r="76" spans="1:25" ht="30" customHeight="1" x14ac:dyDescent="0.3">
      <c r="A76" s="115"/>
      <c r="B76" s="116" t="str">
        <f>IF(ISNA(INDEX(OfficialTeamList[Team Name],MATCH(CoreValuesResults[[#This Row],[Team Number]], OfficialTeamList[Team Number],0))),"",INDEX(OfficialTeamList[Team Name],MATCH(CoreValuesResults[[#This Row],[Team Number]], OfficialTeamList[Team Number],0)))</f>
        <v/>
      </c>
      <c r="C76" s="118">
        <f>'Innovation Project Input'!D76</f>
        <v>0</v>
      </c>
      <c r="D76" s="118">
        <f>InnovationProjectResults[[#This Row],[Design - Teamwork (CV)]]</f>
        <v>0</v>
      </c>
      <c r="E76" s="118">
        <f>InnovationProjectResults[[#This Row],[Create - Innovation (CV)]]</f>
        <v>0</v>
      </c>
      <c r="F76" s="118">
        <f>InnovationProjectResults[[#This Row],[Communicate - Impact (CV)]]</f>
        <v>0</v>
      </c>
      <c r="G76" s="118">
        <f>InnovationProjectResults[[#This Row],[Communicate - Fun (CV)]]</f>
        <v>0</v>
      </c>
      <c r="H76" s="118">
        <f>'Robot Design Input'!D76</f>
        <v>0</v>
      </c>
      <c r="I76" s="118">
        <f>'Robot Design Input'!E76</f>
        <v>0</v>
      </c>
      <c r="J76" s="118">
        <f>RobotDesignResults[[#This Row],[Iterate - Improvements (CV)]]</f>
        <v>0</v>
      </c>
      <c r="K76" s="118">
        <f>RobotDesignResults[[#This Row],[Communicate - Impact (CV)]]</f>
        <v>0</v>
      </c>
      <c r="L76" s="118">
        <f>RobotDesignResults[[#This Row],[Communicate - Fun (CV)]]</f>
        <v>0</v>
      </c>
      <c r="M76" s="115"/>
      <c r="N76" s="115"/>
      <c r="O76" s="115"/>
      <c r="P76" s="115"/>
      <c r="Q76" s="115"/>
      <c r="R76" s="115" t="str">
        <f>IF(CoreValuesResults[[#This Row],[Gracious Professionalism 1]]="","",COUNTIF(CoreValuesResults[[#This Row],[Gracious Professionalism 1]:[Gracious Professionalism 5]],""))</f>
        <v/>
      </c>
      <c r="S76" s="115" t="str">
        <f>IF(CoreValuesResults[[#This Row],[Gracious Professionalism 1]]="","",SUM(CoreValuesResults[[#This Row],[Gracious Professionalism 1]:[Gracious Professionalism 5]]))</f>
        <v/>
      </c>
      <c r="T7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6" s="111">
        <f>SUM(CoreValuesResults[[#This Row],[Discovery (IP)]:[Fun (RD)]],CoreValuesResults[[#This Row],[Gracious Professionalism Score]])</f>
        <v>0</v>
      </c>
      <c r="V76" s="56">
        <f>IF(CoreValuesResults[[#This Row],[Team Number]]&gt;0,MIN(_xlfn.RANK.EQ(CoreValuesResults[[#This Row],[Core Values Score]],CoreValuesResults[Core Values Score],0),NumberOfTeams),NumberOfTeams+1)</f>
        <v>1</v>
      </c>
      <c r="W76" s="57"/>
      <c r="X76" s="57"/>
      <c r="Y76" s="57"/>
    </row>
    <row r="77" spans="1:25" ht="30" customHeight="1" x14ac:dyDescent="0.3">
      <c r="A77" s="115"/>
      <c r="B77" s="116" t="str">
        <f>IF(ISNA(INDEX(OfficialTeamList[Team Name],MATCH(CoreValuesResults[[#This Row],[Team Number]], OfficialTeamList[Team Number],0))),"",INDEX(OfficialTeamList[Team Name],MATCH(CoreValuesResults[[#This Row],[Team Number]], OfficialTeamList[Team Number],0)))</f>
        <v/>
      </c>
      <c r="C77" s="118">
        <f>'Innovation Project Input'!D77</f>
        <v>0</v>
      </c>
      <c r="D77" s="118">
        <f>InnovationProjectResults[[#This Row],[Design - Teamwork (CV)]]</f>
        <v>0</v>
      </c>
      <c r="E77" s="118">
        <f>InnovationProjectResults[[#This Row],[Create - Innovation (CV)]]</f>
        <v>0</v>
      </c>
      <c r="F77" s="118">
        <f>InnovationProjectResults[[#This Row],[Communicate - Impact (CV)]]</f>
        <v>0</v>
      </c>
      <c r="G77" s="118">
        <f>InnovationProjectResults[[#This Row],[Communicate - Fun (CV)]]</f>
        <v>0</v>
      </c>
      <c r="H77" s="118">
        <f>'Robot Design Input'!D77</f>
        <v>0</v>
      </c>
      <c r="I77" s="118">
        <f>'Robot Design Input'!E77</f>
        <v>0</v>
      </c>
      <c r="J77" s="118">
        <f>RobotDesignResults[[#This Row],[Iterate - Improvements (CV)]]</f>
        <v>0</v>
      </c>
      <c r="K77" s="118">
        <f>RobotDesignResults[[#This Row],[Communicate - Impact (CV)]]</f>
        <v>0</v>
      </c>
      <c r="L77" s="118">
        <f>RobotDesignResults[[#This Row],[Communicate - Fun (CV)]]</f>
        <v>0</v>
      </c>
      <c r="M77" s="115"/>
      <c r="N77" s="115"/>
      <c r="O77" s="115"/>
      <c r="P77" s="115"/>
      <c r="Q77" s="115"/>
      <c r="R77" s="115" t="str">
        <f>IF(CoreValuesResults[[#This Row],[Gracious Professionalism 1]]="","",COUNTIF(CoreValuesResults[[#This Row],[Gracious Professionalism 1]:[Gracious Professionalism 5]],""))</f>
        <v/>
      </c>
      <c r="S77" s="115" t="str">
        <f>IF(CoreValuesResults[[#This Row],[Gracious Professionalism 1]]="","",SUM(CoreValuesResults[[#This Row],[Gracious Professionalism 1]:[Gracious Professionalism 5]]))</f>
        <v/>
      </c>
      <c r="T7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7" s="111">
        <f>SUM(CoreValuesResults[[#This Row],[Discovery (IP)]:[Fun (RD)]],CoreValuesResults[[#This Row],[Gracious Professionalism Score]])</f>
        <v>0</v>
      </c>
      <c r="V77" s="56">
        <f>IF(CoreValuesResults[[#This Row],[Team Number]]&gt;0,MIN(_xlfn.RANK.EQ(CoreValuesResults[[#This Row],[Core Values Score]],CoreValuesResults[Core Values Score],0),NumberOfTeams),NumberOfTeams+1)</f>
        <v>1</v>
      </c>
      <c r="W77" s="57"/>
      <c r="X77" s="57"/>
      <c r="Y77" s="57"/>
    </row>
    <row r="78" spans="1:25" ht="30" customHeight="1" x14ac:dyDescent="0.3">
      <c r="A78" s="115"/>
      <c r="B78" s="116" t="str">
        <f>IF(ISNA(INDEX(OfficialTeamList[Team Name],MATCH(CoreValuesResults[[#This Row],[Team Number]], OfficialTeamList[Team Number],0))),"",INDEX(OfficialTeamList[Team Name],MATCH(CoreValuesResults[[#This Row],[Team Number]], OfficialTeamList[Team Number],0)))</f>
        <v/>
      </c>
      <c r="C78" s="118">
        <f>'Innovation Project Input'!D78</f>
        <v>0</v>
      </c>
      <c r="D78" s="118">
        <f>InnovationProjectResults[[#This Row],[Design - Teamwork (CV)]]</f>
        <v>0</v>
      </c>
      <c r="E78" s="118">
        <f>InnovationProjectResults[[#This Row],[Create - Innovation (CV)]]</f>
        <v>0</v>
      </c>
      <c r="F78" s="118">
        <f>InnovationProjectResults[[#This Row],[Communicate - Impact (CV)]]</f>
        <v>0</v>
      </c>
      <c r="G78" s="118">
        <f>InnovationProjectResults[[#This Row],[Communicate - Fun (CV)]]</f>
        <v>0</v>
      </c>
      <c r="H78" s="118">
        <f>'Robot Design Input'!D78</f>
        <v>0</v>
      </c>
      <c r="I78" s="118">
        <f>'Robot Design Input'!E78</f>
        <v>0</v>
      </c>
      <c r="J78" s="118">
        <f>RobotDesignResults[[#This Row],[Iterate - Improvements (CV)]]</f>
        <v>0</v>
      </c>
      <c r="K78" s="118">
        <f>RobotDesignResults[[#This Row],[Communicate - Impact (CV)]]</f>
        <v>0</v>
      </c>
      <c r="L78" s="118">
        <f>RobotDesignResults[[#This Row],[Communicate - Fun (CV)]]</f>
        <v>0</v>
      </c>
      <c r="M78" s="115"/>
      <c r="N78" s="115"/>
      <c r="O78" s="115"/>
      <c r="P78" s="115"/>
      <c r="Q78" s="115"/>
      <c r="R78" s="115" t="str">
        <f>IF(CoreValuesResults[[#This Row],[Gracious Professionalism 1]]="","",COUNTIF(CoreValuesResults[[#This Row],[Gracious Professionalism 1]:[Gracious Professionalism 5]],""))</f>
        <v/>
      </c>
      <c r="S78" s="115" t="str">
        <f>IF(CoreValuesResults[[#This Row],[Gracious Professionalism 1]]="","",SUM(CoreValuesResults[[#This Row],[Gracious Professionalism 1]:[Gracious Professionalism 5]]))</f>
        <v/>
      </c>
      <c r="T7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8" s="111">
        <f>SUM(CoreValuesResults[[#This Row],[Discovery (IP)]:[Fun (RD)]],CoreValuesResults[[#This Row],[Gracious Professionalism Score]])</f>
        <v>0</v>
      </c>
      <c r="V78" s="56">
        <f>IF(CoreValuesResults[[#This Row],[Team Number]]&gt;0,MIN(_xlfn.RANK.EQ(CoreValuesResults[[#This Row],[Core Values Score]],CoreValuesResults[Core Values Score],0),NumberOfTeams),NumberOfTeams+1)</f>
        <v>1</v>
      </c>
      <c r="W78" s="57"/>
      <c r="X78" s="57"/>
      <c r="Y78" s="57"/>
    </row>
    <row r="79" spans="1:25" ht="30" customHeight="1" x14ac:dyDescent="0.3">
      <c r="A79" s="115"/>
      <c r="B79" s="116" t="str">
        <f>IF(ISNA(INDEX(OfficialTeamList[Team Name],MATCH(CoreValuesResults[[#This Row],[Team Number]], OfficialTeamList[Team Number],0))),"",INDEX(OfficialTeamList[Team Name],MATCH(CoreValuesResults[[#This Row],[Team Number]], OfficialTeamList[Team Number],0)))</f>
        <v/>
      </c>
      <c r="C79" s="118">
        <f>'Innovation Project Input'!D79</f>
        <v>0</v>
      </c>
      <c r="D79" s="118">
        <f>InnovationProjectResults[[#This Row],[Design - Teamwork (CV)]]</f>
        <v>0</v>
      </c>
      <c r="E79" s="118">
        <f>InnovationProjectResults[[#This Row],[Create - Innovation (CV)]]</f>
        <v>0</v>
      </c>
      <c r="F79" s="118">
        <f>InnovationProjectResults[[#This Row],[Communicate - Impact (CV)]]</f>
        <v>0</v>
      </c>
      <c r="G79" s="118">
        <f>InnovationProjectResults[[#This Row],[Communicate - Fun (CV)]]</f>
        <v>0</v>
      </c>
      <c r="H79" s="118">
        <f>'Robot Design Input'!D79</f>
        <v>0</v>
      </c>
      <c r="I79" s="118">
        <f>'Robot Design Input'!E79</f>
        <v>0</v>
      </c>
      <c r="J79" s="118">
        <f>RobotDesignResults[[#This Row],[Iterate - Improvements (CV)]]</f>
        <v>0</v>
      </c>
      <c r="K79" s="118">
        <f>RobotDesignResults[[#This Row],[Communicate - Impact (CV)]]</f>
        <v>0</v>
      </c>
      <c r="L79" s="118">
        <f>RobotDesignResults[[#This Row],[Communicate - Fun (CV)]]</f>
        <v>0</v>
      </c>
      <c r="M79" s="115"/>
      <c r="N79" s="115"/>
      <c r="O79" s="115"/>
      <c r="P79" s="115"/>
      <c r="Q79" s="115"/>
      <c r="R79" s="115" t="str">
        <f>IF(CoreValuesResults[[#This Row],[Gracious Professionalism 1]]="","",COUNTIF(CoreValuesResults[[#This Row],[Gracious Professionalism 1]:[Gracious Professionalism 5]],""))</f>
        <v/>
      </c>
      <c r="S79" s="115" t="str">
        <f>IF(CoreValuesResults[[#This Row],[Gracious Professionalism 1]]="","",SUM(CoreValuesResults[[#This Row],[Gracious Professionalism 1]:[Gracious Professionalism 5]]))</f>
        <v/>
      </c>
      <c r="T7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9" s="111">
        <f>SUM(CoreValuesResults[[#This Row],[Discovery (IP)]:[Fun (RD)]],CoreValuesResults[[#This Row],[Gracious Professionalism Score]])</f>
        <v>0</v>
      </c>
      <c r="V79" s="56">
        <f>IF(CoreValuesResults[[#This Row],[Team Number]]&gt;0,MIN(_xlfn.RANK.EQ(CoreValuesResults[[#This Row],[Core Values Score]],CoreValuesResults[Core Values Score],0),NumberOfTeams),NumberOfTeams+1)</f>
        <v>1</v>
      </c>
      <c r="W79" s="57"/>
      <c r="X79" s="57"/>
      <c r="Y79" s="57"/>
    </row>
    <row r="80" spans="1:25" ht="30" customHeight="1" x14ac:dyDescent="0.3">
      <c r="A80" s="115"/>
      <c r="B80" s="116" t="str">
        <f>IF(ISNA(INDEX(OfficialTeamList[Team Name],MATCH(CoreValuesResults[[#This Row],[Team Number]], OfficialTeamList[Team Number],0))),"",INDEX(OfficialTeamList[Team Name],MATCH(CoreValuesResults[[#This Row],[Team Number]], OfficialTeamList[Team Number],0)))</f>
        <v/>
      </c>
      <c r="C80" s="118">
        <f>'Innovation Project Input'!D80</f>
        <v>0</v>
      </c>
      <c r="D80" s="118">
        <f>InnovationProjectResults[[#This Row],[Design - Teamwork (CV)]]</f>
        <v>0</v>
      </c>
      <c r="E80" s="118">
        <f>InnovationProjectResults[[#This Row],[Create - Innovation (CV)]]</f>
        <v>0</v>
      </c>
      <c r="F80" s="118">
        <f>InnovationProjectResults[[#This Row],[Communicate - Impact (CV)]]</f>
        <v>0</v>
      </c>
      <c r="G80" s="118">
        <f>InnovationProjectResults[[#This Row],[Communicate - Fun (CV)]]</f>
        <v>0</v>
      </c>
      <c r="H80" s="118">
        <f>'Robot Design Input'!D80</f>
        <v>0</v>
      </c>
      <c r="I80" s="118">
        <f>'Robot Design Input'!E80</f>
        <v>0</v>
      </c>
      <c r="J80" s="118">
        <f>RobotDesignResults[[#This Row],[Iterate - Improvements (CV)]]</f>
        <v>0</v>
      </c>
      <c r="K80" s="118">
        <f>RobotDesignResults[[#This Row],[Communicate - Impact (CV)]]</f>
        <v>0</v>
      </c>
      <c r="L80" s="118">
        <f>RobotDesignResults[[#This Row],[Communicate - Fun (CV)]]</f>
        <v>0</v>
      </c>
      <c r="M80" s="115"/>
      <c r="N80" s="115"/>
      <c r="O80" s="115"/>
      <c r="P80" s="115"/>
      <c r="Q80" s="115"/>
      <c r="R80" s="115" t="str">
        <f>IF(CoreValuesResults[[#This Row],[Gracious Professionalism 1]]="","",COUNTIF(CoreValuesResults[[#This Row],[Gracious Professionalism 1]:[Gracious Professionalism 5]],""))</f>
        <v/>
      </c>
      <c r="S80" s="115" t="str">
        <f>IF(CoreValuesResults[[#This Row],[Gracious Professionalism 1]]="","",SUM(CoreValuesResults[[#This Row],[Gracious Professionalism 1]:[Gracious Professionalism 5]]))</f>
        <v/>
      </c>
      <c r="T8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0" s="111">
        <f>SUM(CoreValuesResults[[#This Row],[Discovery (IP)]:[Fun (RD)]],CoreValuesResults[[#This Row],[Gracious Professionalism Score]])</f>
        <v>0</v>
      </c>
      <c r="V80" s="56">
        <f>IF(CoreValuesResults[[#This Row],[Team Number]]&gt;0,MIN(_xlfn.RANK.EQ(CoreValuesResults[[#This Row],[Core Values Score]],CoreValuesResults[Core Values Score],0),NumberOfTeams),NumberOfTeams+1)</f>
        <v>1</v>
      </c>
      <c r="W80" s="57"/>
      <c r="X80" s="57"/>
      <c r="Y80" s="57"/>
    </row>
    <row r="81" spans="1:25" ht="30" customHeight="1" x14ac:dyDescent="0.3">
      <c r="A81" s="115"/>
      <c r="B81" s="116" t="str">
        <f>IF(ISNA(INDEX(OfficialTeamList[Team Name],MATCH(CoreValuesResults[[#This Row],[Team Number]], OfficialTeamList[Team Number],0))),"",INDEX(OfficialTeamList[Team Name],MATCH(CoreValuesResults[[#This Row],[Team Number]], OfficialTeamList[Team Number],0)))</f>
        <v/>
      </c>
      <c r="C81" s="118">
        <f>'Innovation Project Input'!D81</f>
        <v>0</v>
      </c>
      <c r="D81" s="118">
        <f>InnovationProjectResults[[#This Row],[Design - Teamwork (CV)]]</f>
        <v>0</v>
      </c>
      <c r="E81" s="118">
        <f>InnovationProjectResults[[#This Row],[Create - Innovation (CV)]]</f>
        <v>0</v>
      </c>
      <c r="F81" s="118">
        <f>InnovationProjectResults[[#This Row],[Communicate - Impact (CV)]]</f>
        <v>0</v>
      </c>
      <c r="G81" s="118">
        <f>InnovationProjectResults[[#This Row],[Communicate - Fun (CV)]]</f>
        <v>0</v>
      </c>
      <c r="H81" s="118">
        <f>'Robot Design Input'!D81</f>
        <v>0</v>
      </c>
      <c r="I81" s="118">
        <f>'Robot Design Input'!E81</f>
        <v>0</v>
      </c>
      <c r="J81" s="118">
        <f>RobotDesignResults[[#This Row],[Iterate - Improvements (CV)]]</f>
        <v>0</v>
      </c>
      <c r="K81" s="118">
        <f>RobotDesignResults[[#This Row],[Communicate - Impact (CV)]]</f>
        <v>0</v>
      </c>
      <c r="L81" s="118">
        <f>RobotDesignResults[[#This Row],[Communicate - Fun (CV)]]</f>
        <v>0</v>
      </c>
      <c r="M81" s="115"/>
      <c r="N81" s="115"/>
      <c r="O81" s="115"/>
      <c r="P81" s="115"/>
      <c r="Q81" s="115"/>
      <c r="R81" s="115" t="str">
        <f>IF(CoreValuesResults[[#This Row],[Gracious Professionalism 1]]="","",COUNTIF(CoreValuesResults[[#This Row],[Gracious Professionalism 1]:[Gracious Professionalism 5]],""))</f>
        <v/>
      </c>
      <c r="S81" s="115" t="str">
        <f>IF(CoreValuesResults[[#This Row],[Gracious Professionalism 1]]="","",SUM(CoreValuesResults[[#This Row],[Gracious Professionalism 1]:[Gracious Professionalism 5]]))</f>
        <v/>
      </c>
      <c r="T8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1" s="111">
        <f>SUM(CoreValuesResults[[#This Row],[Discovery (IP)]:[Fun (RD)]],CoreValuesResults[[#This Row],[Gracious Professionalism Score]])</f>
        <v>0</v>
      </c>
      <c r="V81" s="56">
        <f>IF(CoreValuesResults[[#This Row],[Team Number]]&gt;0,MIN(_xlfn.RANK.EQ(CoreValuesResults[[#This Row],[Core Values Score]],CoreValuesResults[Core Values Score],0),NumberOfTeams),NumberOfTeams+1)</f>
        <v>1</v>
      </c>
      <c r="W81" s="57"/>
      <c r="X81" s="57"/>
      <c r="Y81" s="57"/>
    </row>
    <row r="82" spans="1:25" ht="30" customHeight="1" x14ac:dyDescent="0.3">
      <c r="A82" s="115"/>
      <c r="B82" s="116" t="str">
        <f>IF(ISNA(INDEX(OfficialTeamList[Team Name],MATCH(CoreValuesResults[[#This Row],[Team Number]], OfficialTeamList[Team Number],0))),"",INDEX(OfficialTeamList[Team Name],MATCH(CoreValuesResults[[#This Row],[Team Number]], OfficialTeamList[Team Number],0)))</f>
        <v/>
      </c>
      <c r="C82" s="118">
        <f>'Innovation Project Input'!D82</f>
        <v>0</v>
      </c>
      <c r="D82" s="118">
        <f>InnovationProjectResults[[#This Row],[Design - Teamwork (CV)]]</f>
        <v>0</v>
      </c>
      <c r="E82" s="118">
        <f>InnovationProjectResults[[#This Row],[Create - Innovation (CV)]]</f>
        <v>0</v>
      </c>
      <c r="F82" s="118">
        <f>InnovationProjectResults[[#This Row],[Communicate - Impact (CV)]]</f>
        <v>0</v>
      </c>
      <c r="G82" s="118">
        <f>InnovationProjectResults[[#This Row],[Communicate - Fun (CV)]]</f>
        <v>0</v>
      </c>
      <c r="H82" s="118">
        <f>'Robot Design Input'!D82</f>
        <v>0</v>
      </c>
      <c r="I82" s="118">
        <f>'Robot Design Input'!E82</f>
        <v>0</v>
      </c>
      <c r="J82" s="118">
        <f>RobotDesignResults[[#This Row],[Iterate - Improvements (CV)]]</f>
        <v>0</v>
      </c>
      <c r="K82" s="118">
        <f>RobotDesignResults[[#This Row],[Communicate - Impact (CV)]]</f>
        <v>0</v>
      </c>
      <c r="L82" s="118">
        <f>RobotDesignResults[[#This Row],[Communicate - Fun (CV)]]</f>
        <v>0</v>
      </c>
      <c r="M82" s="115"/>
      <c r="N82" s="115"/>
      <c r="O82" s="115"/>
      <c r="P82" s="115"/>
      <c r="Q82" s="115"/>
      <c r="R82" s="115" t="str">
        <f>IF(CoreValuesResults[[#This Row],[Gracious Professionalism 1]]="","",COUNTIF(CoreValuesResults[[#This Row],[Gracious Professionalism 1]:[Gracious Professionalism 5]],""))</f>
        <v/>
      </c>
      <c r="S82" s="115" t="str">
        <f>IF(CoreValuesResults[[#This Row],[Gracious Professionalism 1]]="","",SUM(CoreValuesResults[[#This Row],[Gracious Professionalism 1]:[Gracious Professionalism 5]]))</f>
        <v/>
      </c>
      <c r="T8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2" s="111">
        <f>SUM(CoreValuesResults[[#This Row],[Discovery (IP)]:[Fun (RD)]],CoreValuesResults[[#This Row],[Gracious Professionalism Score]])</f>
        <v>0</v>
      </c>
      <c r="V82" s="56">
        <f>IF(CoreValuesResults[[#This Row],[Team Number]]&gt;0,MIN(_xlfn.RANK.EQ(CoreValuesResults[[#This Row],[Core Values Score]],CoreValuesResults[Core Values Score],0),NumberOfTeams),NumberOfTeams+1)</f>
        <v>1</v>
      </c>
      <c r="W82" s="57"/>
      <c r="X82" s="57"/>
      <c r="Y82" s="57"/>
    </row>
    <row r="83" spans="1:25" ht="30" customHeight="1" x14ac:dyDescent="0.3">
      <c r="A83" s="115"/>
      <c r="B83" s="116" t="str">
        <f>IF(ISNA(INDEX(OfficialTeamList[Team Name],MATCH(CoreValuesResults[[#This Row],[Team Number]], OfficialTeamList[Team Number],0))),"",INDEX(OfficialTeamList[Team Name],MATCH(CoreValuesResults[[#This Row],[Team Number]], OfficialTeamList[Team Number],0)))</f>
        <v/>
      </c>
      <c r="C83" s="118">
        <f>'Innovation Project Input'!D83</f>
        <v>0</v>
      </c>
      <c r="D83" s="118">
        <f>InnovationProjectResults[[#This Row],[Design - Teamwork (CV)]]</f>
        <v>0</v>
      </c>
      <c r="E83" s="118">
        <f>InnovationProjectResults[[#This Row],[Create - Innovation (CV)]]</f>
        <v>0</v>
      </c>
      <c r="F83" s="118">
        <f>InnovationProjectResults[[#This Row],[Communicate - Impact (CV)]]</f>
        <v>0</v>
      </c>
      <c r="G83" s="118">
        <f>InnovationProjectResults[[#This Row],[Communicate - Fun (CV)]]</f>
        <v>0</v>
      </c>
      <c r="H83" s="118">
        <f>'Robot Design Input'!D83</f>
        <v>0</v>
      </c>
      <c r="I83" s="118">
        <f>'Robot Design Input'!E83</f>
        <v>0</v>
      </c>
      <c r="J83" s="118">
        <f>RobotDesignResults[[#This Row],[Iterate - Improvements (CV)]]</f>
        <v>0</v>
      </c>
      <c r="K83" s="118">
        <f>RobotDesignResults[[#This Row],[Communicate - Impact (CV)]]</f>
        <v>0</v>
      </c>
      <c r="L83" s="118">
        <f>RobotDesignResults[[#This Row],[Communicate - Fun (CV)]]</f>
        <v>0</v>
      </c>
      <c r="M83" s="115"/>
      <c r="N83" s="115"/>
      <c r="O83" s="115"/>
      <c r="P83" s="115"/>
      <c r="Q83" s="115"/>
      <c r="R83" s="115" t="str">
        <f>IF(CoreValuesResults[[#This Row],[Gracious Professionalism 1]]="","",COUNTIF(CoreValuesResults[[#This Row],[Gracious Professionalism 1]:[Gracious Professionalism 5]],""))</f>
        <v/>
      </c>
      <c r="S83" s="115" t="str">
        <f>IF(CoreValuesResults[[#This Row],[Gracious Professionalism 1]]="","",SUM(CoreValuesResults[[#This Row],[Gracious Professionalism 1]:[Gracious Professionalism 5]]))</f>
        <v/>
      </c>
      <c r="T8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3" s="111">
        <f>SUM(CoreValuesResults[[#This Row],[Discovery (IP)]:[Fun (RD)]],CoreValuesResults[[#This Row],[Gracious Professionalism Score]])</f>
        <v>0</v>
      </c>
      <c r="V83" s="56">
        <f>IF(CoreValuesResults[[#This Row],[Team Number]]&gt;0,MIN(_xlfn.RANK.EQ(CoreValuesResults[[#This Row],[Core Values Score]],CoreValuesResults[Core Values Score],0),NumberOfTeams),NumberOfTeams+1)</f>
        <v>1</v>
      </c>
      <c r="W83" s="57"/>
      <c r="X83" s="57"/>
      <c r="Y83" s="57"/>
    </row>
    <row r="84" spans="1:25" ht="30" customHeight="1" x14ac:dyDescent="0.3">
      <c r="A84" s="115"/>
      <c r="B84" s="116" t="str">
        <f>IF(ISNA(INDEX(OfficialTeamList[Team Name],MATCH(CoreValuesResults[[#This Row],[Team Number]], OfficialTeamList[Team Number],0))),"",INDEX(OfficialTeamList[Team Name],MATCH(CoreValuesResults[[#This Row],[Team Number]], OfficialTeamList[Team Number],0)))</f>
        <v/>
      </c>
      <c r="C84" s="118">
        <f>'Innovation Project Input'!D84</f>
        <v>0</v>
      </c>
      <c r="D84" s="118">
        <f>InnovationProjectResults[[#This Row],[Design - Teamwork (CV)]]</f>
        <v>0</v>
      </c>
      <c r="E84" s="118">
        <f>InnovationProjectResults[[#This Row],[Create - Innovation (CV)]]</f>
        <v>0</v>
      </c>
      <c r="F84" s="118">
        <f>InnovationProjectResults[[#This Row],[Communicate - Impact (CV)]]</f>
        <v>0</v>
      </c>
      <c r="G84" s="118">
        <f>InnovationProjectResults[[#This Row],[Communicate - Fun (CV)]]</f>
        <v>0</v>
      </c>
      <c r="H84" s="118">
        <f>'Robot Design Input'!D84</f>
        <v>0</v>
      </c>
      <c r="I84" s="118">
        <f>'Robot Design Input'!E84</f>
        <v>0</v>
      </c>
      <c r="J84" s="118">
        <f>RobotDesignResults[[#This Row],[Iterate - Improvements (CV)]]</f>
        <v>0</v>
      </c>
      <c r="K84" s="118">
        <f>RobotDesignResults[[#This Row],[Communicate - Impact (CV)]]</f>
        <v>0</v>
      </c>
      <c r="L84" s="118">
        <f>RobotDesignResults[[#This Row],[Communicate - Fun (CV)]]</f>
        <v>0</v>
      </c>
      <c r="M84" s="115"/>
      <c r="N84" s="115"/>
      <c r="O84" s="115"/>
      <c r="P84" s="115"/>
      <c r="Q84" s="115"/>
      <c r="R84" s="115" t="str">
        <f>IF(CoreValuesResults[[#This Row],[Gracious Professionalism 1]]="","",COUNTIF(CoreValuesResults[[#This Row],[Gracious Professionalism 1]:[Gracious Professionalism 5]],""))</f>
        <v/>
      </c>
      <c r="S84" s="115" t="str">
        <f>IF(CoreValuesResults[[#This Row],[Gracious Professionalism 1]]="","",SUM(CoreValuesResults[[#This Row],[Gracious Professionalism 1]:[Gracious Professionalism 5]]))</f>
        <v/>
      </c>
      <c r="T8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4" s="111">
        <f>SUM(CoreValuesResults[[#This Row],[Discovery (IP)]:[Fun (RD)]],CoreValuesResults[[#This Row],[Gracious Professionalism Score]])</f>
        <v>0</v>
      </c>
      <c r="V84" s="56">
        <f>IF(CoreValuesResults[[#This Row],[Team Number]]&gt;0,MIN(_xlfn.RANK.EQ(CoreValuesResults[[#This Row],[Core Values Score]],CoreValuesResults[Core Values Score],0),NumberOfTeams),NumberOfTeams+1)</f>
        <v>1</v>
      </c>
      <c r="W84" s="57"/>
      <c r="X84" s="57"/>
      <c r="Y84" s="57"/>
    </row>
    <row r="85" spans="1:25" ht="30" customHeight="1" x14ac:dyDescent="0.3">
      <c r="A85" s="115"/>
      <c r="B85" s="116" t="str">
        <f>IF(ISNA(INDEX(OfficialTeamList[Team Name],MATCH(CoreValuesResults[[#This Row],[Team Number]], OfficialTeamList[Team Number],0))),"",INDEX(OfficialTeamList[Team Name],MATCH(CoreValuesResults[[#This Row],[Team Number]], OfficialTeamList[Team Number],0)))</f>
        <v/>
      </c>
      <c r="C85" s="118">
        <f>'Innovation Project Input'!D85</f>
        <v>0</v>
      </c>
      <c r="D85" s="118">
        <f>InnovationProjectResults[[#This Row],[Design - Teamwork (CV)]]</f>
        <v>0</v>
      </c>
      <c r="E85" s="118">
        <f>InnovationProjectResults[[#This Row],[Create - Innovation (CV)]]</f>
        <v>0</v>
      </c>
      <c r="F85" s="118">
        <f>InnovationProjectResults[[#This Row],[Communicate - Impact (CV)]]</f>
        <v>0</v>
      </c>
      <c r="G85" s="118">
        <f>InnovationProjectResults[[#This Row],[Communicate - Fun (CV)]]</f>
        <v>0</v>
      </c>
      <c r="H85" s="118">
        <f>'Robot Design Input'!D85</f>
        <v>0</v>
      </c>
      <c r="I85" s="118">
        <f>'Robot Design Input'!E85</f>
        <v>0</v>
      </c>
      <c r="J85" s="118">
        <f>RobotDesignResults[[#This Row],[Iterate - Improvements (CV)]]</f>
        <v>0</v>
      </c>
      <c r="K85" s="118">
        <f>RobotDesignResults[[#This Row],[Communicate - Impact (CV)]]</f>
        <v>0</v>
      </c>
      <c r="L85" s="118">
        <f>RobotDesignResults[[#This Row],[Communicate - Fun (CV)]]</f>
        <v>0</v>
      </c>
      <c r="M85" s="115"/>
      <c r="N85" s="115"/>
      <c r="O85" s="115"/>
      <c r="P85" s="115"/>
      <c r="Q85" s="115"/>
      <c r="R85" s="115" t="str">
        <f>IF(CoreValuesResults[[#This Row],[Gracious Professionalism 1]]="","",COUNTIF(CoreValuesResults[[#This Row],[Gracious Professionalism 1]:[Gracious Professionalism 5]],""))</f>
        <v/>
      </c>
      <c r="S85" s="115" t="str">
        <f>IF(CoreValuesResults[[#This Row],[Gracious Professionalism 1]]="","",SUM(CoreValuesResults[[#This Row],[Gracious Professionalism 1]:[Gracious Professionalism 5]]))</f>
        <v/>
      </c>
      <c r="T8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5" s="111">
        <f>SUM(CoreValuesResults[[#This Row],[Discovery (IP)]:[Fun (RD)]],CoreValuesResults[[#This Row],[Gracious Professionalism Score]])</f>
        <v>0</v>
      </c>
      <c r="V85" s="56">
        <f>IF(CoreValuesResults[[#This Row],[Team Number]]&gt;0,MIN(_xlfn.RANK.EQ(CoreValuesResults[[#This Row],[Core Values Score]],CoreValuesResults[Core Values Score],0),NumberOfTeams),NumberOfTeams+1)</f>
        <v>1</v>
      </c>
      <c r="W85" s="57"/>
      <c r="X85" s="57"/>
      <c r="Y85" s="57"/>
    </row>
    <row r="86" spans="1:25" ht="30" customHeight="1" x14ac:dyDescent="0.3">
      <c r="A86" s="115"/>
      <c r="B86" s="116" t="str">
        <f>IF(ISNA(INDEX(OfficialTeamList[Team Name],MATCH(CoreValuesResults[[#This Row],[Team Number]], OfficialTeamList[Team Number],0))),"",INDEX(OfficialTeamList[Team Name],MATCH(CoreValuesResults[[#This Row],[Team Number]], OfficialTeamList[Team Number],0)))</f>
        <v/>
      </c>
      <c r="C86" s="118">
        <f>'Innovation Project Input'!D86</f>
        <v>0</v>
      </c>
      <c r="D86" s="118">
        <f>InnovationProjectResults[[#This Row],[Design - Teamwork (CV)]]</f>
        <v>0</v>
      </c>
      <c r="E86" s="118">
        <f>InnovationProjectResults[[#This Row],[Create - Innovation (CV)]]</f>
        <v>0</v>
      </c>
      <c r="F86" s="118">
        <f>InnovationProjectResults[[#This Row],[Communicate - Impact (CV)]]</f>
        <v>0</v>
      </c>
      <c r="G86" s="118">
        <f>InnovationProjectResults[[#This Row],[Communicate - Fun (CV)]]</f>
        <v>0</v>
      </c>
      <c r="H86" s="118">
        <f>'Robot Design Input'!D86</f>
        <v>0</v>
      </c>
      <c r="I86" s="118">
        <f>'Robot Design Input'!E86</f>
        <v>0</v>
      </c>
      <c r="J86" s="118">
        <f>RobotDesignResults[[#This Row],[Iterate - Improvements (CV)]]</f>
        <v>0</v>
      </c>
      <c r="K86" s="118">
        <f>RobotDesignResults[[#This Row],[Communicate - Impact (CV)]]</f>
        <v>0</v>
      </c>
      <c r="L86" s="118">
        <f>RobotDesignResults[[#This Row],[Communicate - Fun (CV)]]</f>
        <v>0</v>
      </c>
      <c r="M86" s="115"/>
      <c r="N86" s="115"/>
      <c r="O86" s="115"/>
      <c r="P86" s="115"/>
      <c r="Q86" s="115"/>
      <c r="R86" s="115" t="str">
        <f>IF(CoreValuesResults[[#This Row],[Gracious Professionalism 1]]="","",COUNTIF(CoreValuesResults[[#This Row],[Gracious Professionalism 1]:[Gracious Professionalism 5]],""))</f>
        <v/>
      </c>
      <c r="S86" s="115" t="str">
        <f>IF(CoreValuesResults[[#This Row],[Gracious Professionalism 1]]="","",SUM(CoreValuesResults[[#This Row],[Gracious Professionalism 1]:[Gracious Professionalism 5]]))</f>
        <v/>
      </c>
      <c r="T8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6" s="111">
        <f>SUM(CoreValuesResults[[#This Row],[Discovery (IP)]:[Fun (RD)]],CoreValuesResults[[#This Row],[Gracious Professionalism Score]])</f>
        <v>0</v>
      </c>
      <c r="V86" s="56">
        <f>IF(CoreValuesResults[[#This Row],[Team Number]]&gt;0,MIN(_xlfn.RANK.EQ(CoreValuesResults[[#This Row],[Core Values Score]],CoreValuesResults[Core Values Score],0),NumberOfTeams),NumberOfTeams+1)</f>
        <v>1</v>
      </c>
      <c r="W86" s="57"/>
      <c r="X86" s="57"/>
      <c r="Y86" s="57"/>
    </row>
    <row r="87" spans="1:25" ht="30" customHeight="1" x14ac:dyDescent="0.3">
      <c r="A87" s="115"/>
      <c r="B87" s="116" t="str">
        <f>IF(ISNA(INDEX(OfficialTeamList[Team Name],MATCH(CoreValuesResults[[#This Row],[Team Number]], OfficialTeamList[Team Number],0))),"",INDEX(OfficialTeamList[Team Name],MATCH(CoreValuesResults[[#This Row],[Team Number]], OfficialTeamList[Team Number],0)))</f>
        <v/>
      </c>
      <c r="C87" s="118">
        <f>'Innovation Project Input'!D87</f>
        <v>0</v>
      </c>
      <c r="D87" s="118">
        <f>InnovationProjectResults[[#This Row],[Design - Teamwork (CV)]]</f>
        <v>0</v>
      </c>
      <c r="E87" s="118">
        <f>InnovationProjectResults[[#This Row],[Create - Innovation (CV)]]</f>
        <v>0</v>
      </c>
      <c r="F87" s="118">
        <f>InnovationProjectResults[[#This Row],[Communicate - Impact (CV)]]</f>
        <v>0</v>
      </c>
      <c r="G87" s="118">
        <f>InnovationProjectResults[[#This Row],[Communicate - Fun (CV)]]</f>
        <v>0</v>
      </c>
      <c r="H87" s="118">
        <f>'Robot Design Input'!D87</f>
        <v>0</v>
      </c>
      <c r="I87" s="118">
        <f>'Robot Design Input'!E87</f>
        <v>0</v>
      </c>
      <c r="J87" s="118">
        <f>RobotDesignResults[[#This Row],[Iterate - Improvements (CV)]]</f>
        <v>0</v>
      </c>
      <c r="K87" s="118">
        <f>RobotDesignResults[[#This Row],[Communicate - Impact (CV)]]</f>
        <v>0</v>
      </c>
      <c r="L87" s="118">
        <f>RobotDesignResults[[#This Row],[Communicate - Fun (CV)]]</f>
        <v>0</v>
      </c>
      <c r="M87" s="115"/>
      <c r="N87" s="115"/>
      <c r="O87" s="115"/>
      <c r="P87" s="115"/>
      <c r="Q87" s="115"/>
      <c r="R87" s="115" t="str">
        <f>IF(CoreValuesResults[[#This Row],[Gracious Professionalism 1]]="","",COUNTIF(CoreValuesResults[[#This Row],[Gracious Professionalism 1]:[Gracious Professionalism 5]],""))</f>
        <v/>
      </c>
      <c r="S87" s="115" t="str">
        <f>IF(CoreValuesResults[[#This Row],[Gracious Professionalism 1]]="","",SUM(CoreValuesResults[[#This Row],[Gracious Professionalism 1]:[Gracious Professionalism 5]]))</f>
        <v/>
      </c>
      <c r="T8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7" s="111">
        <f>SUM(CoreValuesResults[[#This Row],[Discovery (IP)]:[Fun (RD)]],CoreValuesResults[[#This Row],[Gracious Professionalism Score]])</f>
        <v>0</v>
      </c>
      <c r="V87" s="56">
        <f>IF(CoreValuesResults[[#This Row],[Team Number]]&gt;0,MIN(_xlfn.RANK.EQ(CoreValuesResults[[#This Row],[Core Values Score]],CoreValuesResults[Core Values Score],0),NumberOfTeams),NumberOfTeams+1)</f>
        <v>1</v>
      </c>
      <c r="W87" s="57"/>
      <c r="X87" s="57"/>
      <c r="Y87" s="57"/>
    </row>
    <row r="88" spans="1:25" ht="30" customHeight="1" x14ac:dyDescent="0.3">
      <c r="A88" s="115"/>
      <c r="B88" s="116" t="str">
        <f>IF(ISNA(INDEX(OfficialTeamList[Team Name],MATCH(CoreValuesResults[[#This Row],[Team Number]], OfficialTeamList[Team Number],0))),"",INDEX(OfficialTeamList[Team Name],MATCH(CoreValuesResults[[#This Row],[Team Number]], OfficialTeamList[Team Number],0)))</f>
        <v/>
      </c>
      <c r="C88" s="118">
        <f>'Innovation Project Input'!D88</f>
        <v>0</v>
      </c>
      <c r="D88" s="118">
        <f>InnovationProjectResults[[#This Row],[Design - Teamwork (CV)]]</f>
        <v>0</v>
      </c>
      <c r="E88" s="118">
        <f>InnovationProjectResults[[#This Row],[Create - Innovation (CV)]]</f>
        <v>0</v>
      </c>
      <c r="F88" s="118">
        <f>InnovationProjectResults[[#This Row],[Communicate - Impact (CV)]]</f>
        <v>0</v>
      </c>
      <c r="G88" s="118">
        <f>InnovationProjectResults[[#This Row],[Communicate - Fun (CV)]]</f>
        <v>0</v>
      </c>
      <c r="H88" s="118">
        <f>'Robot Design Input'!D88</f>
        <v>0</v>
      </c>
      <c r="I88" s="118">
        <f>'Robot Design Input'!E88</f>
        <v>0</v>
      </c>
      <c r="J88" s="118">
        <f>RobotDesignResults[[#This Row],[Iterate - Improvements (CV)]]</f>
        <v>0</v>
      </c>
      <c r="K88" s="118">
        <f>RobotDesignResults[[#This Row],[Communicate - Impact (CV)]]</f>
        <v>0</v>
      </c>
      <c r="L88" s="118">
        <f>RobotDesignResults[[#This Row],[Communicate - Fun (CV)]]</f>
        <v>0</v>
      </c>
      <c r="M88" s="115"/>
      <c r="N88" s="115"/>
      <c r="O88" s="115"/>
      <c r="P88" s="115"/>
      <c r="Q88" s="115"/>
      <c r="R88" s="115" t="str">
        <f>IF(CoreValuesResults[[#This Row],[Gracious Professionalism 1]]="","",COUNTIF(CoreValuesResults[[#This Row],[Gracious Professionalism 1]:[Gracious Professionalism 5]],""))</f>
        <v/>
      </c>
      <c r="S88" s="115" t="str">
        <f>IF(CoreValuesResults[[#This Row],[Gracious Professionalism 1]]="","",SUM(CoreValuesResults[[#This Row],[Gracious Professionalism 1]:[Gracious Professionalism 5]]))</f>
        <v/>
      </c>
      <c r="T8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8" s="111">
        <f>SUM(CoreValuesResults[[#This Row],[Discovery (IP)]:[Fun (RD)]],CoreValuesResults[[#This Row],[Gracious Professionalism Score]])</f>
        <v>0</v>
      </c>
      <c r="V88" s="56">
        <f>IF(CoreValuesResults[[#This Row],[Team Number]]&gt;0,MIN(_xlfn.RANK.EQ(CoreValuesResults[[#This Row],[Core Values Score]],CoreValuesResults[Core Values Score],0),NumberOfTeams),NumberOfTeams+1)</f>
        <v>1</v>
      </c>
      <c r="W88" s="57"/>
      <c r="X88" s="57"/>
      <c r="Y88" s="57"/>
    </row>
    <row r="89" spans="1:25" ht="30" customHeight="1" x14ac:dyDescent="0.3">
      <c r="A89" s="115"/>
      <c r="B89" s="116" t="str">
        <f>IF(ISNA(INDEX(OfficialTeamList[Team Name],MATCH(CoreValuesResults[[#This Row],[Team Number]], OfficialTeamList[Team Number],0))),"",INDEX(OfficialTeamList[Team Name],MATCH(CoreValuesResults[[#This Row],[Team Number]], OfficialTeamList[Team Number],0)))</f>
        <v/>
      </c>
      <c r="C89" s="118">
        <f>'Innovation Project Input'!D89</f>
        <v>0</v>
      </c>
      <c r="D89" s="118">
        <f>InnovationProjectResults[[#This Row],[Design - Teamwork (CV)]]</f>
        <v>0</v>
      </c>
      <c r="E89" s="118">
        <f>InnovationProjectResults[[#This Row],[Create - Innovation (CV)]]</f>
        <v>0</v>
      </c>
      <c r="F89" s="118">
        <f>InnovationProjectResults[[#This Row],[Communicate - Impact (CV)]]</f>
        <v>0</v>
      </c>
      <c r="G89" s="118">
        <f>InnovationProjectResults[[#This Row],[Communicate - Fun (CV)]]</f>
        <v>0</v>
      </c>
      <c r="H89" s="118">
        <f>'Robot Design Input'!D89</f>
        <v>0</v>
      </c>
      <c r="I89" s="118">
        <f>'Robot Design Input'!E89</f>
        <v>0</v>
      </c>
      <c r="J89" s="118">
        <f>RobotDesignResults[[#This Row],[Iterate - Improvements (CV)]]</f>
        <v>0</v>
      </c>
      <c r="K89" s="118">
        <f>RobotDesignResults[[#This Row],[Communicate - Impact (CV)]]</f>
        <v>0</v>
      </c>
      <c r="L89" s="118">
        <f>RobotDesignResults[[#This Row],[Communicate - Fun (CV)]]</f>
        <v>0</v>
      </c>
      <c r="M89" s="115"/>
      <c r="N89" s="115"/>
      <c r="O89" s="115"/>
      <c r="P89" s="115"/>
      <c r="Q89" s="115"/>
      <c r="R89" s="115" t="str">
        <f>IF(CoreValuesResults[[#This Row],[Gracious Professionalism 1]]="","",COUNTIF(CoreValuesResults[[#This Row],[Gracious Professionalism 1]:[Gracious Professionalism 5]],""))</f>
        <v/>
      </c>
      <c r="S89" s="115" t="str">
        <f>IF(CoreValuesResults[[#This Row],[Gracious Professionalism 1]]="","",SUM(CoreValuesResults[[#This Row],[Gracious Professionalism 1]:[Gracious Professionalism 5]]))</f>
        <v/>
      </c>
      <c r="T8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9" s="111">
        <f>SUM(CoreValuesResults[[#This Row],[Discovery (IP)]:[Fun (RD)]],CoreValuesResults[[#This Row],[Gracious Professionalism Score]])</f>
        <v>0</v>
      </c>
      <c r="V89" s="56">
        <f>IF(CoreValuesResults[[#This Row],[Team Number]]&gt;0,MIN(_xlfn.RANK.EQ(CoreValuesResults[[#This Row],[Core Values Score]],CoreValuesResults[Core Values Score],0),NumberOfTeams),NumberOfTeams+1)</f>
        <v>1</v>
      </c>
      <c r="W89" s="57"/>
      <c r="X89" s="57"/>
      <c r="Y89" s="57"/>
    </row>
    <row r="90" spans="1:25" ht="30" customHeight="1" x14ac:dyDescent="0.3">
      <c r="A90" s="115"/>
      <c r="B90" s="116" t="str">
        <f>IF(ISNA(INDEX(OfficialTeamList[Team Name],MATCH(CoreValuesResults[[#This Row],[Team Number]], OfficialTeamList[Team Number],0))),"",INDEX(OfficialTeamList[Team Name],MATCH(CoreValuesResults[[#This Row],[Team Number]], OfficialTeamList[Team Number],0)))</f>
        <v/>
      </c>
      <c r="C90" s="118">
        <f>'Innovation Project Input'!D90</f>
        <v>0</v>
      </c>
      <c r="D90" s="118">
        <f>InnovationProjectResults[[#This Row],[Design - Teamwork (CV)]]</f>
        <v>0</v>
      </c>
      <c r="E90" s="118">
        <f>InnovationProjectResults[[#This Row],[Create - Innovation (CV)]]</f>
        <v>0</v>
      </c>
      <c r="F90" s="118">
        <f>InnovationProjectResults[[#This Row],[Communicate - Impact (CV)]]</f>
        <v>0</v>
      </c>
      <c r="G90" s="118">
        <f>InnovationProjectResults[[#This Row],[Communicate - Fun (CV)]]</f>
        <v>0</v>
      </c>
      <c r="H90" s="118">
        <f>'Robot Design Input'!D90</f>
        <v>0</v>
      </c>
      <c r="I90" s="118">
        <f>'Robot Design Input'!E90</f>
        <v>0</v>
      </c>
      <c r="J90" s="118">
        <f>RobotDesignResults[[#This Row],[Iterate - Improvements (CV)]]</f>
        <v>0</v>
      </c>
      <c r="K90" s="118">
        <f>RobotDesignResults[[#This Row],[Communicate - Impact (CV)]]</f>
        <v>0</v>
      </c>
      <c r="L90" s="118">
        <f>RobotDesignResults[[#This Row],[Communicate - Fun (CV)]]</f>
        <v>0</v>
      </c>
      <c r="M90" s="115"/>
      <c r="N90" s="115"/>
      <c r="O90" s="115"/>
      <c r="P90" s="115"/>
      <c r="Q90" s="115"/>
      <c r="R90" s="115" t="str">
        <f>IF(CoreValuesResults[[#This Row],[Gracious Professionalism 1]]="","",COUNTIF(CoreValuesResults[[#This Row],[Gracious Professionalism 1]:[Gracious Professionalism 5]],""))</f>
        <v/>
      </c>
      <c r="S90" s="115" t="str">
        <f>IF(CoreValuesResults[[#This Row],[Gracious Professionalism 1]]="","",SUM(CoreValuesResults[[#This Row],[Gracious Professionalism 1]:[Gracious Professionalism 5]]))</f>
        <v/>
      </c>
      <c r="T9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0" s="111">
        <f>SUM(CoreValuesResults[[#This Row],[Discovery (IP)]:[Fun (RD)]],CoreValuesResults[[#This Row],[Gracious Professionalism Score]])</f>
        <v>0</v>
      </c>
      <c r="V90" s="56">
        <f>IF(CoreValuesResults[[#This Row],[Team Number]]&gt;0,MIN(_xlfn.RANK.EQ(CoreValuesResults[[#This Row],[Core Values Score]],CoreValuesResults[Core Values Score],0),NumberOfTeams),NumberOfTeams+1)</f>
        <v>1</v>
      </c>
      <c r="W90" s="57"/>
      <c r="X90" s="57"/>
      <c r="Y90" s="57"/>
    </row>
    <row r="91" spans="1:25" ht="30" customHeight="1" x14ac:dyDescent="0.3">
      <c r="A91" s="115"/>
      <c r="B91" s="116" t="str">
        <f>IF(ISNA(INDEX(OfficialTeamList[Team Name],MATCH(CoreValuesResults[[#This Row],[Team Number]], OfficialTeamList[Team Number],0))),"",INDEX(OfficialTeamList[Team Name],MATCH(CoreValuesResults[[#This Row],[Team Number]], OfficialTeamList[Team Number],0)))</f>
        <v/>
      </c>
      <c r="C91" s="118">
        <f>'Innovation Project Input'!D91</f>
        <v>0</v>
      </c>
      <c r="D91" s="118">
        <f>InnovationProjectResults[[#This Row],[Design - Teamwork (CV)]]</f>
        <v>0</v>
      </c>
      <c r="E91" s="118">
        <f>InnovationProjectResults[[#This Row],[Create - Innovation (CV)]]</f>
        <v>0</v>
      </c>
      <c r="F91" s="118">
        <f>InnovationProjectResults[[#This Row],[Communicate - Impact (CV)]]</f>
        <v>0</v>
      </c>
      <c r="G91" s="118">
        <f>InnovationProjectResults[[#This Row],[Communicate - Fun (CV)]]</f>
        <v>0</v>
      </c>
      <c r="H91" s="118">
        <f>'Robot Design Input'!D91</f>
        <v>0</v>
      </c>
      <c r="I91" s="118">
        <f>'Robot Design Input'!E91</f>
        <v>0</v>
      </c>
      <c r="J91" s="118">
        <f>RobotDesignResults[[#This Row],[Iterate - Improvements (CV)]]</f>
        <v>0</v>
      </c>
      <c r="K91" s="118">
        <f>RobotDesignResults[[#This Row],[Communicate - Impact (CV)]]</f>
        <v>0</v>
      </c>
      <c r="L91" s="118">
        <f>RobotDesignResults[[#This Row],[Communicate - Fun (CV)]]</f>
        <v>0</v>
      </c>
      <c r="M91" s="115"/>
      <c r="N91" s="115"/>
      <c r="O91" s="115"/>
      <c r="P91" s="115"/>
      <c r="Q91" s="115"/>
      <c r="R91" s="115" t="str">
        <f>IF(CoreValuesResults[[#This Row],[Gracious Professionalism 1]]="","",COUNTIF(CoreValuesResults[[#This Row],[Gracious Professionalism 1]:[Gracious Professionalism 5]],""))</f>
        <v/>
      </c>
      <c r="S91" s="115" t="str">
        <f>IF(CoreValuesResults[[#This Row],[Gracious Professionalism 1]]="","",SUM(CoreValuesResults[[#This Row],[Gracious Professionalism 1]:[Gracious Professionalism 5]]))</f>
        <v/>
      </c>
      <c r="T9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1" s="111">
        <f>SUM(CoreValuesResults[[#This Row],[Discovery (IP)]:[Fun (RD)]],CoreValuesResults[[#This Row],[Gracious Professionalism Score]])</f>
        <v>0</v>
      </c>
      <c r="V91" s="56">
        <f>IF(CoreValuesResults[[#This Row],[Team Number]]&gt;0,MIN(_xlfn.RANK.EQ(CoreValuesResults[[#This Row],[Core Values Score]],CoreValuesResults[Core Values Score],0),NumberOfTeams),NumberOfTeams+1)</f>
        <v>1</v>
      </c>
      <c r="W91" s="57"/>
      <c r="X91" s="57"/>
      <c r="Y91" s="57"/>
    </row>
    <row r="92" spans="1:25" ht="30" customHeight="1" x14ac:dyDescent="0.3">
      <c r="A92" s="115"/>
      <c r="B92" s="116" t="str">
        <f>IF(ISNA(INDEX(OfficialTeamList[Team Name],MATCH(CoreValuesResults[[#This Row],[Team Number]], OfficialTeamList[Team Number],0))),"",INDEX(OfficialTeamList[Team Name],MATCH(CoreValuesResults[[#This Row],[Team Number]], OfficialTeamList[Team Number],0)))</f>
        <v/>
      </c>
      <c r="C92" s="118">
        <f>'Innovation Project Input'!D92</f>
        <v>0</v>
      </c>
      <c r="D92" s="118">
        <f>InnovationProjectResults[[#This Row],[Design - Teamwork (CV)]]</f>
        <v>0</v>
      </c>
      <c r="E92" s="118">
        <f>InnovationProjectResults[[#This Row],[Create - Innovation (CV)]]</f>
        <v>0</v>
      </c>
      <c r="F92" s="118">
        <f>InnovationProjectResults[[#This Row],[Communicate - Impact (CV)]]</f>
        <v>0</v>
      </c>
      <c r="G92" s="118">
        <f>InnovationProjectResults[[#This Row],[Communicate - Fun (CV)]]</f>
        <v>0</v>
      </c>
      <c r="H92" s="118">
        <f>'Robot Design Input'!D92</f>
        <v>0</v>
      </c>
      <c r="I92" s="118">
        <f>'Robot Design Input'!E92</f>
        <v>0</v>
      </c>
      <c r="J92" s="118">
        <f>RobotDesignResults[[#This Row],[Iterate - Improvements (CV)]]</f>
        <v>0</v>
      </c>
      <c r="K92" s="118">
        <f>RobotDesignResults[[#This Row],[Communicate - Impact (CV)]]</f>
        <v>0</v>
      </c>
      <c r="L92" s="118">
        <f>RobotDesignResults[[#This Row],[Communicate - Fun (CV)]]</f>
        <v>0</v>
      </c>
      <c r="M92" s="115"/>
      <c r="N92" s="115"/>
      <c r="O92" s="115"/>
      <c r="P92" s="115"/>
      <c r="Q92" s="115"/>
      <c r="R92" s="115" t="str">
        <f>IF(CoreValuesResults[[#This Row],[Gracious Professionalism 1]]="","",COUNTIF(CoreValuesResults[[#This Row],[Gracious Professionalism 1]:[Gracious Professionalism 5]],""))</f>
        <v/>
      </c>
      <c r="S92" s="115" t="str">
        <f>IF(CoreValuesResults[[#This Row],[Gracious Professionalism 1]]="","",SUM(CoreValuesResults[[#This Row],[Gracious Professionalism 1]:[Gracious Professionalism 5]]))</f>
        <v/>
      </c>
      <c r="T9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2" s="111">
        <f>SUM(CoreValuesResults[[#This Row],[Discovery (IP)]:[Fun (RD)]],CoreValuesResults[[#This Row],[Gracious Professionalism Score]])</f>
        <v>0</v>
      </c>
      <c r="V92" s="56">
        <f>IF(CoreValuesResults[[#This Row],[Team Number]]&gt;0,MIN(_xlfn.RANK.EQ(CoreValuesResults[[#This Row],[Core Values Score]],CoreValuesResults[Core Values Score],0),NumberOfTeams),NumberOfTeams+1)</f>
        <v>1</v>
      </c>
      <c r="W92" s="57"/>
      <c r="X92" s="57"/>
      <c r="Y92" s="57"/>
    </row>
    <row r="93" spans="1:25" ht="30" customHeight="1" x14ac:dyDescent="0.3">
      <c r="A93" s="115"/>
      <c r="B93" s="116" t="str">
        <f>IF(ISNA(INDEX(OfficialTeamList[Team Name],MATCH(CoreValuesResults[[#This Row],[Team Number]], OfficialTeamList[Team Number],0))),"",INDEX(OfficialTeamList[Team Name],MATCH(CoreValuesResults[[#This Row],[Team Number]], OfficialTeamList[Team Number],0)))</f>
        <v/>
      </c>
      <c r="C93" s="118">
        <f>'Innovation Project Input'!D93</f>
        <v>0</v>
      </c>
      <c r="D93" s="118">
        <f>InnovationProjectResults[[#This Row],[Design - Teamwork (CV)]]</f>
        <v>0</v>
      </c>
      <c r="E93" s="118">
        <f>InnovationProjectResults[[#This Row],[Create - Innovation (CV)]]</f>
        <v>0</v>
      </c>
      <c r="F93" s="118">
        <f>InnovationProjectResults[[#This Row],[Communicate - Impact (CV)]]</f>
        <v>0</v>
      </c>
      <c r="G93" s="118">
        <f>InnovationProjectResults[[#This Row],[Communicate - Fun (CV)]]</f>
        <v>0</v>
      </c>
      <c r="H93" s="118">
        <f>'Robot Design Input'!D93</f>
        <v>0</v>
      </c>
      <c r="I93" s="118">
        <f>'Robot Design Input'!E93</f>
        <v>0</v>
      </c>
      <c r="J93" s="118">
        <f>RobotDesignResults[[#This Row],[Iterate - Improvements (CV)]]</f>
        <v>0</v>
      </c>
      <c r="K93" s="118">
        <f>RobotDesignResults[[#This Row],[Communicate - Impact (CV)]]</f>
        <v>0</v>
      </c>
      <c r="L93" s="118">
        <f>RobotDesignResults[[#This Row],[Communicate - Fun (CV)]]</f>
        <v>0</v>
      </c>
      <c r="M93" s="115"/>
      <c r="N93" s="115"/>
      <c r="O93" s="115"/>
      <c r="P93" s="115"/>
      <c r="Q93" s="115"/>
      <c r="R93" s="115" t="str">
        <f>IF(CoreValuesResults[[#This Row],[Gracious Professionalism 1]]="","",COUNTIF(CoreValuesResults[[#This Row],[Gracious Professionalism 1]:[Gracious Professionalism 5]],""))</f>
        <v/>
      </c>
      <c r="S93" s="115" t="str">
        <f>IF(CoreValuesResults[[#This Row],[Gracious Professionalism 1]]="","",SUM(CoreValuesResults[[#This Row],[Gracious Professionalism 1]:[Gracious Professionalism 5]]))</f>
        <v/>
      </c>
      <c r="T9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3" s="111">
        <f>SUM(CoreValuesResults[[#This Row],[Discovery (IP)]:[Fun (RD)]],CoreValuesResults[[#This Row],[Gracious Professionalism Score]])</f>
        <v>0</v>
      </c>
      <c r="V93" s="56">
        <f>IF(CoreValuesResults[[#This Row],[Team Number]]&gt;0,MIN(_xlfn.RANK.EQ(CoreValuesResults[[#This Row],[Core Values Score]],CoreValuesResults[Core Values Score],0),NumberOfTeams),NumberOfTeams+1)</f>
        <v>1</v>
      </c>
      <c r="W93" s="57"/>
      <c r="X93" s="57"/>
      <c r="Y93" s="57"/>
    </row>
    <row r="94" spans="1:25" ht="30" customHeight="1" x14ac:dyDescent="0.3">
      <c r="A94" s="115"/>
      <c r="B94" s="116" t="str">
        <f>IF(ISNA(INDEX(OfficialTeamList[Team Name],MATCH(CoreValuesResults[[#This Row],[Team Number]], OfficialTeamList[Team Number],0))),"",INDEX(OfficialTeamList[Team Name],MATCH(CoreValuesResults[[#This Row],[Team Number]], OfficialTeamList[Team Number],0)))</f>
        <v/>
      </c>
      <c r="C94" s="118">
        <f>'Innovation Project Input'!D94</f>
        <v>0</v>
      </c>
      <c r="D94" s="118">
        <f>InnovationProjectResults[[#This Row],[Design - Teamwork (CV)]]</f>
        <v>0</v>
      </c>
      <c r="E94" s="118">
        <f>InnovationProjectResults[[#This Row],[Create - Innovation (CV)]]</f>
        <v>0</v>
      </c>
      <c r="F94" s="118">
        <f>InnovationProjectResults[[#This Row],[Communicate - Impact (CV)]]</f>
        <v>0</v>
      </c>
      <c r="G94" s="118">
        <f>InnovationProjectResults[[#This Row],[Communicate - Fun (CV)]]</f>
        <v>0</v>
      </c>
      <c r="H94" s="118">
        <f>'Robot Design Input'!D94</f>
        <v>0</v>
      </c>
      <c r="I94" s="118">
        <f>'Robot Design Input'!E94</f>
        <v>0</v>
      </c>
      <c r="J94" s="118">
        <f>RobotDesignResults[[#This Row],[Iterate - Improvements (CV)]]</f>
        <v>0</v>
      </c>
      <c r="K94" s="118">
        <f>RobotDesignResults[[#This Row],[Communicate - Impact (CV)]]</f>
        <v>0</v>
      </c>
      <c r="L94" s="118">
        <f>RobotDesignResults[[#This Row],[Communicate - Fun (CV)]]</f>
        <v>0</v>
      </c>
      <c r="M94" s="115"/>
      <c r="N94" s="115"/>
      <c r="O94" s="115"/>
      <c r="P94" s="115"/>
      <c r="Q94" s="115"/>
      <c r="R94" s="115" t="str">
        <f>IF(CoreValuesResults[[#This Row],[Gracious Professionalism 1]]="","",COUNTIF(CoreValuesResults[[#This Row],[Gracious Professionalism 1]:[Gracious Professionalism 5]],""))</f>
        <v/>
      </c>
      <c r="S94" s="115" t="str">
        <f>IF(CoreValuesResults[[#This Row],[Gracious Professionalism 1]]="","",SUM(CoreValuesResults[[#This Row],[Gracious Professionalism 1]:[Gracious Professionalism 5]]))</f>
        <v/>
      </c>
      <c r="T9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4" s="111">
        <f>SUM(CoreValuesResults[[#This Row],[Discovery (IP)]:[Fun (RD)]],CoreValuesResults[[#This Row],[Gracious Professionalism Score]])</f>
        <v>0</v>
      </c>
      <c r="V94" s="56">
        <f>IF(CoreValuesResults[[#This Row],[Team Number]]&gt;0,MIN(_xlfn.RANK.EQ(CoreValuesResults[[#This Row],[Core Values Score]],CoreValuesResults[Core Values Score],0),NumberOfTeams),NumberOfTeams+1)</f>
        <v>1</v>
      </c>
      <c r="W94" s="57"/>
      <c r="X94" s="57"/>
      <c r="Y94" s="57"/>
    </row>
    <row r="95" spans="1:25" ht="30" customHeight="1" x14ac:dyDescent="0.3">
      <c r="A95" s="115"/>
      <c r="B95" s="116" t="str">
        <f>IF(ISNA(INDEX(OfficialTeamList[Team Name],MATCH(CoreValuesResults[[#This Row],[Team Number]], OfficialTeamList[Team Number],0))),"",INDEX(OfficialTeamList[Team Name],MATCH(CoreValuesResults[[#This Row],[Team Number]], OfficialTeamList[Team Number],0)))</f>
        <v/>
      </c>
      <c r="C95" s="118">
        <f>'Innovation Project Input'!D95</f>
        <v>0</v>
      </c>
      <c r="D95" s="118">
        <f>InnovationProjectResults[[#This Row],[Design - Teamwork (CV)]]</f>
        <v>0</v>
      </c>
      <c r="E95" s="118">
        <f>InnovationProjectResults[[#This Row],[Create - Innovation (CV)]]</f>
        <v>0</v>
      </c>
      <c r="F95" s="118">
        <f>InnovationProjectResults[[#This Row],[Communicate - Impact (CV)]]</f>
        <v>0</v>
      </c>
      <c r="G95" s="118">
        <f>InnovationProjectResults[[#This Row],[Communicate - Fun (CV)]]</f>
        <v>0</v>
      </c>
      <c r="H95" s="118">
        <f>'Robot Design Input'!D95</f>
        <v>0</v>
      </c>
      <c r="I95" s="118">
        <f>'Robot Design Input'!E95</f>
        <v>0</v>
      </c>
      <c r="J95" s="118">
        <f>RobotDesignResults[[#This Row],[Iterate - Improvements (CV)]]</f>
        <v>0</v>
      </c>
      <c r="K95" s="118">
        <f>RobotDesignResults[[#This Row],[Communicate - Impact (CV)]]</f>
        <v>0</v>
      </c>
      <c r="L95" s="118">
        <f>RobotDesignResults[[#This Row],[Communicate - Fun (CV)]]</f>
        <v>0</v>
      </c>
      <c r="M95" s="115"/>
      <c r="N95" s="115"/>
      <c r="O95" s="115"/>
      <c r="P95" s="115"/>
      <c r="Q95" s="115"/>
      <c r="R95" s="115" t="str">
        <f>IF(CoreValuesResults[[#This Row],[Gracious Professionalism 1]]="","",COUNTIF(CoreValuesResults[[#This Row],[Gracious Professionalism 1]:[Gracious Professionalism 5]],""))</f>
        <v/>
      </c>
      <c r="S95" s="115" t="str">
        <f>IF(CoreValuesResults[[#This Row],[Gracious Professionalism 1]]="","",SUM(CoreValuesResults[[#This Row],[Gracious Professionalism 1]:[Gracious Professionalism 5]]))</f>
        <v/>
      </c>
      <c r="T9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5" s="111">
        <f>SUM(CoreValuesResults[[#This Row],[Discovery (IP)]:[Fun (RD)]],CoreValuesResults[[#This Row],[Gracious Professionalism Score]])</f>
        <v>0</v>
      </c>
      <c r="V95" s="56">
        <f>IF(CoreValuesResults[[#This Row],[Team Number]]&gt;0,MIN(_xlfn.RANK.EQ(CoreValuesResults[[#This Row],[Core Values Score]],CoreValuesResults[Core Values Score],0),NumberOfTeams),NumberOfTeams+1)</f>
        <v>1</v>
      </c>
      <c r="W95" s="57"/>
      <c r="X95" s="57"/>
      <c r="Y95" s="57"/>
    </row>
    <row r="96" spans="1:25" ht="30" customHeight="1" x14ac:dyDescent="0.3">
      <c r="A96" s="115"/>
      <c r="B96" s="116" t="str">
        <f>IF(ISNA(INDEX(OfficialTeamList[Team Name],MATCH(CoreValuesResults[[#This Row],[Team Number]], OfficialTeamList[Team Number],0))),"",INDEX(OfficialTeamList[Team Name],MATCH(CoreValuesResults[[#This Row],[Team Number]], OfficialTeamList[Team Number],0)))</f>
        <v/>
      </c>
      <c r="C96" s="118">
        <f>'Innovation Project Input'!D96</f>
        <v>0</v>
      </c>
      <c r="D96" s="118">
        <f>InnovationProjectResults[[#This Row],[Design - Teamwork (CV)]]</f>
        <v>0</v>
      </c>
      <c r="E96" s="118">
        <f>InnovationProjectResults[[#This Row],[Create - Innovation (CV)]]</f>
        <v>0</v>
      </c>
      <c r="F96" s="118">
        <f>InnovationProjectResults[[#This Row],[Communicate - Impact (CV)]]</f>
        <v>0</v>
      </c>
      <c r="G96" s="118">
        <f>InnovationProjectResults[[#This Row],[Communicate - Fun (CV)]]</f>
        <v>0</v>
      </c>
      <c r="H96" s="118">
        <f>'Robot Design Input'!D96</f>
        <v>0</v>
      </c>
      <c r="I96" s="118">
        <f>'Robot Design Input'!E96</f>
        <v>0</v>
      </c>
      <c r="J96" s="118">
        <f>RobotDesignResults[[#This Row],[Iterate - Improvements (CV)]]</f>
        <v>0</v>
      </c>
      <c r="K96" s="118">
        <f>RobotDesignResults[[#This Row],[Communicate - Impact (CV)]]</f>
        <v>0</v>
      </c>
      <c r="L96" s="118">
        <f>RobotDesignResults[[#This Row],[Communicate - Fun (CV)]]</f>
        <v>0</v>
      </c>
      <c r="M96" s="115"/>
      <c r="N96" s="115"/>
      <c r="O96" s="115"/>
      <c r="P96" s="115"/>
      <c r="Q96" s="115"/>
      <c r="R96" s="115" t="str">
        <f>IF(CoreValuesResults[[#This Row],[Gracious Professionalism 1]]="","",COUNTIF(CoreValuesResults[[#This Row],[Gracious Professionalism 1]:[Gracious Professionalism 5]],""))</f>
        <v/>
      </c>
      <c r="S96" s="115" t="str">
        <f>IF(CoreValuesResults[[#This Row],[Gracious Professionalism 1]]="","",SUM(CoreValuesResults[[#This Row],[Gracious Professionalism 1]:[Gracious Professionalism 5]]))</f>
        <v/>
      </c>
      <c r="T9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6" s="111">
        <f>SUM(CoreValuesResults[[#This Row],[Discovery (IP)]:[Fun (RD)]],CoreValuesResults[[#This Row],[Gracious Professionalism Score]])</f>
        <v>0</v>
      </c>
      <c r="V96" s="56">
        <f>IF(CoreValuesResults[[#This Row],[Team Number]]&gt;0,MIN(_xlfn.RANK.EQ(CoreValuesResults[[#This Row],[Core Values Score]],CoreValuesResults[Core Values Score],0),NumberOfTeams),NumberOfTeams+1)</f>
        <v>1</v>
      </c>
      <c r="W96" s="57"/>
      <c r="X96" s="57"/>
      <c r="Y96" s="57"/>
    </row>
    <row r="97" spans="1:25" ht="30" customHeight="1" x14ac:dyDescent="0.3">
      <c r="A97" s="115"/>
      <c r="B97" s="116" t="str">
        <f>IF(ISNA(INDEX(OfficialTeamList[Team Name],MATCH(CoreValuesResults[[#This Row],[Team Number]], OfficialTeamList[Team Number],0))),"",INDEX(OfficialTeamList[Team Name],MATCH(CoreValuesResults[[#This Row],[Team Number]], OfficialTeamList[Team Number],0)))</f>
        <v/>
      </c>
      <c r="C97" s="118">
        <f>'Innovation Project Input'!D97</f>
        <v>0</v>
      </c>
      <c r="D97" s="118">
        <f>InnovationProjectResults[[#This Row],[Design - Teamwork (CV)]]</f>
        <v>0</v>
      </c>
      <c r="E97" s="118">
        <f>InnovationProjectResults[[#This Row],[Create - Innovation (CV)]]</f>
        <v>0</v>
      </c>
      <c r="F97" s="118">
        <f>InnovationProjectResults[[#This Row],[Communicate - Impact (CV)]]</f>
        <v>0</v>
      </c>
      <c r="G97" s="118">
        <f>InnovationProjectResults[[#This Row],[Communicate - Fun (CV)]]</f>
        <v>0</v>
      </c>
      <c r="H97" s="118">
        <f>'Robot Design Input'!D97</f>
        <v>0</v>
      </c>
      <c r="I97" s="118">
        <f>'Robot Design Input'!E97</f>
        <v>0</v>
      </c>
      <c r="J97" s="118">
        <f>RobotDesignResults[[#This Row],[Iterate - Improvements (CV)]]</f>
        <v>0</v>
      </c>
      <c r="K97" s="118">
        <f>RobotDesignResults[[#This Row],[Communicate - Impact (CV)]]</f>
        <v>0</v>
      </c>
      <c r="L97" s="118">
        <f>RobotDesignResults[[#This Row],[Communicate - Fun (CV)]]</f>
        <v>0</v>
      </c>
      <c r="M97" s="115"/>
      <c r="N97" s="115"/>
      <c r="O97" s="115"/>
      <c r="P97" s="115"/>
      <c r="Q97" s="115"/>
      <c r="R97" s="115" t="str">
        <f>IF(CoreValuesResults[[#This Row],[Gracious Professionalism 1]]="","",COUNTIF(CoreValuesResults[[#This Row],[Gracious Professionalism 1]:[Gracious Professionalism 5]],""))</f>
        <v/>
      </c>
      <c r="S97" s="115" t="str">
        <f>IF(CoreValuesResults[[#This Row],[Gracious Professionalism 1]]="","",SUM(CoreValuesResults[[#This Row],[Gracious Professionalism 1]:[Gracious Professionalism 5]]))</f>
        <v/>
      </c>
      <c r="T9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7" s="111">
        <f>SUM(CoreValuesResults[[#This Row],[Discovery (IP)]:[Fun (RD)]],CoreValuesResults[[#This Row],[Gracious Professionalism Score]])</f>
        <v>0</v>
      </c>
      <c r="V97" s="56">
        <f>IF(CoreValuesResults[[#This Row],[Team Number]]&gt;0,MIN(_xlfn.RANK.EQ(CoreValuesResults[[#This Row],[Core Values Score]],CoreValuesResults[Core Values Score],0),NumberOfTeams),NumberOfTeams+1)</f>
        <v>1</v>
      </c>
      <c r="W97" s="57"/>
      <c r="X97" s="57"/>
      <c r="Y97" s="57"/>
    </row>
    <row r="98" spans="1:25" ht="30" customHeight="1" x14ac:dyDescent="0.3">
      <c r="A98" s="115"/>
      <c r="B98" s="116" t="str">
        <f>IF(ISNA(INDEX(OfficialTeamList[Team Name],MATCH(CoreValuesResults[[#This Row],[Team Number]], OfficialTeamList[Team Number],0))),"",INDEX(OfficialTeamList[Team Name],MATCH(CoreValuesResults[[#This Row],[Team Number]], OfficialTeamList[Team Number],0)))</f>
        <v/>
      </c>
      <c r="C98" s="118">
        <f>'Innovation Project Input'!D98</f>
        <v>0</v>
      </c>
      <c r="D98" s="118">
        <f>InnovationProjectResults[[#This Row],[Design - Teamwork (CV)]]</f>
        <v>0</v>
      </c>
      <c r="E98" s="118">
        <f>InnovationProjectResults[[#This Row],[Create - Innovation (CV)]]</f>
        <v>0</v>
      </c>
      <c r="F98" s="118">
        <f>InnovationProjectResults[[#This Row],[Communicate - Impact (CV)]]</f>
        <v>0</v>
      </c>
      <c r="G98" s="118">
        <f>InnovationProjectResults[[#This Row],[Communicate - Fun (CV)]]</f>
        <v>0</v>
      </c>
      <c r="H98" s="118">
        <f>'Robot Design Input'!D98</f>
        <v>0</v>
      </c>
      <c r="I98" s="118">
        <f>'Robot Design Input'!E98</f>
        <v>0</v>
      </c>
      <c r="J98" s="118">
        <f>RobotDesignResults[[#This Row],[Iterate - Improvements (CV)]]</f>
        <v>0</v>
      </c>
      <c r="K98" s="118">
        <f>RobotDesignResults[[#This Row],[Communicate - Impact (CV)]]</f>
        <v>0</v>
      </c>
      <c r="L98" s="118">
        <f>RobotDesignResults[[#This Row],[Communicate - Fun (CV)]]</f>
        <v>0</v>
      </c>
      <c r="M98" s="115"/>
      <c r="N98" s="115"/>
      <c r="O98" s="115"/>
      <c r="P98" s="115"/>
      <c r="Q98" s="115"/>
      <c r="R98" s="115" t="str">
        <f>IF(CoreValuesResults[[#This Row],[Gracious Professionalism 1]]="","",COUNTIF(CoreValuesResults[[#This Row],[Gracious Professionalism 1]:[Gracious Professionalism 5]],""))</f>
        <v/>
      </c>
      <c r="S98" s="115" t="str">
        <f>IF(CoreValuesResults[[#This Row],[Gracious Professionalism 1]]="","",SUM(CoreValuesResults[[#This Row],[Gracious Professionalism 1]:[Gracious Professionalism 5]]))</f>
        <v/>
      </c>
      <c r="T9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8" s="111">
        <f>SUM(CoreValuesResults[[#This Row],[Discovery (IP)]:[Fun (RD)]],CoreValuesResults[[#This Row],[Gracious Professionalism Score]])</f>
        <v>0</v>
      </c>
      <c r="V98" s="56">
        <f>IF(CoreValuesResults[[#This Row],[Team Number]]&gt;0,MIN(_xlfn.RANK.EQ(CoreValuesResults[[#This Row],[Core Values Score]],CoreValuesResults[Core Values Score],0),NumberOfTeams),NumberOfTeams+1)</f>
        <v>1</v>
      </c>
      <c r="W98" s="57"/>
      <c r="X98" s="57"/>
      <c r="Y98" s="57"/>
    </row>
    <row r="99" spans="1:25" ht="30" customHeight="1" x14ac:dyDescent="0.3">
      <c r="A99" s="115"/>
      <c r="B99" s="116" t="str">
        <f>IF(ISNA(INDEX(OfficialTeamList[Team Name],MATCH(CoreValuesResults[[#This Row],[Team Number]], OfficialTeamList[Team Number],0))),"",INDEX(OfficialTeamList[Team Name],MATCH(CoreValuesResults[[#This Row],[Team Number]], OfficialTeamList[Team Number],0)))</f>
        <v/>
      </c>
      <c r="C99" s="118">
        <f>'Innovation Project Input'!D99</f>
        <v>0</v>
      </c>
      <c r="D99" s="118">
        <f>InnovationProjectResults[[#This Row],[Design - Teamwork (CV)]]</f>
        <v>0</v>
      </c>
      <c r="E99" s="118">
        <f>InnovationProjectResults[[#This Row],[Create - Innovation (CV)]]</f>
        <v>0</v>
      </c>
      <c r="F99" s="118">
        <f>InnovationProjectResults[[#This Row],[Communicate - Impact (CV)]]</f>
        <v>0</v>
      </c>
      <c r="G99" s="118">
        <f>InnovationProjectResults[[#This Row],[Communicate - Fun (CV)]]</f>
        <v>0</v>
      </c>
      <c r="H99" s="118">
        <f>'Robot Design Input'!D99</f>
        <v>0</v>
      </c>
      <c r="I99" s="118">
        <f>'Robot Design Input'!E99</f>
        <v>0</v>
      </c>
      <c r="J99" s="118">
        <f>RobotDesignResults[[#This Row],[Iterate - Improvements (CV)]]</f>
        <v>0</v>
      </c>
      <c r="K99" s="118">
        <f>RobotDesignResults[[#This Row],[Communicate - Impact (CV)]]</f>
        <v>0</v>
      </c>
      <c r="L99" s="118">
        <f>RobotDesignResults[[#This Row],[Communicate - Fun (CV)]]</f>
        <v>0</v>
      </c>
      <c r="M99" s="115"/>
      <c r="N99" s="115"/>
      <c r="O99" s="115"/>
      <c r="P99" s="115"/>
      <c r="Q99" s="115"/>
      <c r="R99" s="115" t="str">
        <f>IF(CoreValuesResults[[#This Row],[Gracious Professionalism 1]]="","",COUNTIF(CoreValuesResults[[#This Row],[Gracious Professionalism 1]:[Gracious Professionalism 5]],""))</f>
        <v/>
      </c>
      <c r="S99" s="115" t="str">
        <f>IF(CoreValuesResults[[#This Row],[Gracious Professionalism 1]]="","",SUM(CoreValuesResults[[#This Row],[Gracious Professionalism 1]:[Gracious Professionalism 5]]))</f>
        <v/>
      </c>
      <c r="T9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9" s="111">
        <f>SUM(CoreValuesResults[[#This Row],[Discovery (IP)]:[Fun (RD)]],CoreValuesResults[[#This Row],[Gracious Professionalism Score]])</f>
        <v>0</v>
      </c>
      <c r="V99" s="56">
        <f>IF(CoreValuesResults[[#This Row],[Team Number]]&gt;0,MIN(_xlfn.RANK.EQ(CoreValuesResults[[#This Row],[Core Values Score]],CoreValuesResults[Core Values Score],0),NumberOfTeams),NumberOfTeams+1)</f>
        <v>1</v>
      </c>
      <c r="W99" s="57"/>
      <c r="X99" s="57"/>
      <c r="Y99" s="57"/>
    </row>
    <row r="100" spans="1:25" ht="30" customHeight="1" x14ac:dyDescent="0.3">
      <c r="A100" s="115"/>
      <c r="B100" s="116" t="str">
        <f>IF(ISNA(INDEX(OfficialTeamList[Team Name],MATCH(CoreValuesResults[[#This Row],[Team Number]], OfficialTeamList[Team Number],0))),"",INDEX(OfficialTeamList[Team Name],MATCH(CoreValuesResults[[#This Row],[Team Number]], OfficialTeamList[Team Number],0)))</f>
        <v/>
      </c>
      <c r="C100" s="118">
        <f>'Innovation Project Input'!D100</f>
        <v>0</v>
      </c>
      <c r="D100" s="118">
        <f>InnovationProjectResults[[#This Row],[Design - Teamwork (CV)]]</f>
        <v>0</v>
      </c>
      <c r="E100" s="118">
        <f>InnovationProjectResults[[#This Row],[Create - Innovation (CV)]]</f>
        <v>0</v>
      </c>
      <c r="F100" s="118">
        <f>InnovationProjectResults[[#This Row],[Communicate - Impact (CV)]]</f>
        <v>0</v>
      </c>
      <c r="G100" s="118">
        <f>InnovationProjectResults[[#This Row],[Communicate - Fun (CV)]]</f>
        <v>0</v>
      </c>
      <c r="H100" s="118">
        <f>'Robot Design Input'!D100</f>
        <v>0</v>
      </c>
      <c r="I100" s="118">
        <f>'Robot Design Input'!E100</f>
        <v>0</v>
      </c>
      <c r="J100" s="118">
        <f>RobotDesignResults[[#This Row],[Iterate - Improvements (CV)]]</f>
        <v>0</v>
      </c>
      <c r="K100" s="118">
        <f>RobotDesignResults[[#This Row],[Communicate - Impact (CV)]]</f>
        <v>0</v>
      </c>
      <c r="L100" s="118">
        <f>RobotDesignResults[[#This Row],[Communicate - Fun (CV)]]</f>
        <v>0</v>
      </c>
      <c r="M100" s="115"/>
      <c r="N100" s="115"/>
      <c r="O100" s="115"/>
      <c r="P100" s="115"/>
      <c r="Q100" s="115"/>
      <c r="R100" s="115" t="str">
        <f>IF(CoreValuesResults[[#This Row],[Gracious Professionalism 1]]="","",COUNTIF(CoreValuesResults[[#This Row],[Gracious Professionalism 1]:[Gracious Professionalism 5]],""))</f>
        <v/>
      </c>
      <c r="S100" s="115" t="str">
        <f>IF(CoreValuesResults[[#This Row],[Gracious Professionalism 1]]="","",SUM(CoreValuesResults[[#This Row],[Gracious Professionalism 1]:[Gracious Professionalism 5]]))</f>
        <v/>
      </c>
      <c r="T100"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0" s="111">
        <f>SUM(CoreValuesResults[[#This Row],[Discovery (IP)]:[Fun (RD)]],CoreValuesResults[[#This Row],[Gracious Professionalism Score]])</f>
        <v>0</v>
      </c>
      <c r="V100" s="56">
        <f>IF(CoreValuesResults[[#This Row],[Team Number]]&gt;0,MIN(_xlfn.RANK.EQ(CoreValuesResults[[#This Row],[Core Values Score]],CoreValuesResults[Core Values Score],0),NumberOfTeams),NumberOfTeams+1)</f>
        <v>1</v>
      </c>
      <c r="W100" s="57"/>
      <c r="X100" s="57"/>
      <c r="Y100" s="57"/>
    </row>
    <row r="101" spans="1:25" ht="30" customHeight="1" x14ac:dyDescent="0.3">
      <c r="A101" s="115"/>
      <c r="B101" s="116" t="str">
        <f>IF(ISNA(INDEX(OfficialTeamList[Team Name],MATCH(CoreValuesResults[[#This Row],[Team Number]], OfficialTeamList[Team Number],0))),"",INDEX(OfficialTeamList[Team Name],MATCH(CoreValuesResults[[#This Row],[Team Number]], OfficialTeamList[Team Number],0)))</f>
        <v/>
      </c>
      <c r="C101" s="118">
        <f>'Innovation Project Input'!D101</f>
        <v>0</v>
      </c>
      <c r="D101" s="118">
        <f>InnovationProjectResults[[#This Row],[Design - Teamwork (CV)]]</f>
        <v>0</v>
      </c>
      <c r="E101" s="118">
        <f>InnovationProjectResults[[#This Row],[Create - Innovation (CV)]]</f>
        <v>0</v>
      </c>
      <c r="F101" s="118">
        <f>InnovationProjectResults[[#This Row],[Communicate - Impact (CV)]]</f>
        <v>0</v>
      </c>
      <c r="G101" s="118">
        <f>InnovationProjectResults[[#This Row],[Communicate - Fun (CV)]]</f>
        <v>0</v>
      </c>
      <c r="H101" s="118">
        <f>'Robot Design Input'!D101</f>
        <v>0</v>
      </c>
      <c r="I101" s="118">
        <f>'Robot Design Input'!E101</f>
        <v>0</v>
      </c>
      <c r="J101" s="118">
        <f>RobotDesignResults[[#This Row],[Iterate - Improvements (CV)]]</f>
        <v>0</v>
      </c>
      <c r="K101" s="118">
        <f>RobotDesignResults[[#This Row],[Communicate - Impact (CV)]]</f>
        <v>0</v>
      </c>
      <c r="L101" s="118">
        <f>RobotDesignResults[[#This Row],[Communicate - Fun (CV)]]</f>
        <v>0</v>
      </c>
      <c r="M101" s="115"/>
      <c r="N101" s="115"/>
      <c r="O101" s="115"/>
      <c r="P101" s="115"/>
      <c r="Q101" s="115"/>
      <c r="R101" s="115" t="str">
        <f>IF(CoreValuesResults[[#This Row],[Gracious Professionalism 1]]="","",COUNTIF(CoreValuesResults[[#This Row],[Gracious Professionalism 1]:[Gracious Professionalism 5]],""))</f>
        <v/>
      </c>
      <c r="S101" s="115" t="str">
        <f>IF(CoreValuesResults[[#This Row],[Gracious Professionalism 1]]="","",SUM(CoreValuesResults[[#This Row],[Gracious Professionalism 1]:[Gracious Professionalism 5]]))</f>
        <v/>
      </c>
      <c r="T101"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1" s="111">
        <f>SUM(CoreValuesResults[[#This Row],[Discovery (IP)]:[Fun (RD)]],CoreValuesResults[[#This Row],[Gracious Professionalism Score]])</f>
        <v>0</v>
      </c>
      <c r="V101" s="56">
        <f>IF(CoreValuesResults[[#This Row],[Team Number]]&gt;0,MIN(_xlfn.RANK.EQ(CoreValuesResults[[#This Row],[Core Values Score]],CoreValuesResults[Core Values Score],0),NumberOfTeams),NumberOfTeams+1)</f>
        <v>1</v>
      </c>
      <c r="W101" s="57"/>
      <c r="X101" s="57"/>
      <c r="Y101" s="57"/>
    </row>
    <row r="102" spans="1:25" ht="30" customHeight="1" x14ac:dyDescent="0.3">
      <c r="A102" s="115"/>
      <c r="B102" s="116" t="str">
        <f>IF(ISNA(INDEX(OfficialTeamList[Team Name],MATCH(CoreValuesResults[[#This Row],[Team Number]], OfficialTeamList[Team Number],0))),"",INDEX(OfficialTeamList[Team Name],MATCH(CoreValuesResults[[#This Row],[Team Number]], OfficialTeamList[Team Number],0)))</f>
        <v/>
      </c>
      <c r="C102" s="118">
        <f>'Innovation Project Input'!D102</f>
        <v>0</v>
      </c>
      <c r="D102" s="118">
        <f>InnovationProjectResults[[#This Row],[Design - Teamwork (CV)]]</f>
        <v>0</v>
      </c>
      <c r="E102" s="118">
        <f>InnovationProjectResults[[#This Row],[Create - Innovation (CV)]]</f>
        <v>0</v>
      </c>
      <c r="F102" s="118">
        <f>InnovationProjectResults[[#This Row],[Communicate - Impact (CV)]]</f>
        <v>0</v>
      </c>
      <c r="G102" s="118">
        <f>InnovationProjectResults[[#This Row],[Communicate - Fun (CV)]]</f>
        <v>0</v>
      </c>
      <c r="H102" s="118">
        <f>'Robot Design Input'!D102</f>
        <v>0</v>
      </c>
      <c r="I102" s="118">
        <f>'Robot Design Input'!E102</f>
        <v>0</v>
      </c>
      <c r="J102" s="118">
        <f>RobotDesignResults[[#This Row],[Iterate - Improvements (CV)]]</f>
        <v>0</v>
      </c>
      <c r="K102" s="118">
        <f>RobotDesignResults[[#This Row],[Communicate - Impact (CV)]]</f>
        <v>0</v>
      </c>
      <c r="L102" s="118">
        <f>RobotDesignResults[[#This Row],[Communicate - Fun (CV)]]</f>
        <v>0</v>
      </c>
      <c r="M102" s="115"/>
      <c r="N102" s="115"/>
      <c r="O102" s="115"/>
      <c r="P102" s="115"/>
      <c r="Q102" s="115"/>
      <c r="R102" s="115" t="str">
        <f>IF(CoreValuesResults[[#This Row],[Gracious Professionalism 1]]="","",COUNTIF(CoreValuesResults[[#This Row],[Gracious Professionalism 1]:[Gracious Professionalism 5]],""))</f>
        <v/>
      </c>
      <c r="S102" s="115" t="str">
        <f>IF(CoreValuesResults[[#This Row],[Gracious Professionalism 1]]="","",SUM(CoreValuesResults[[#This Row],[Gracious Professionalism 1]:[Gracious Professionalism 5]]))</f>
        <v/>
      </c>
      <c r="T102"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2" s="111">
        <f>SUM(CoreValuesResults[[#This Row],[Discovery (IP)]:[Fun (RD)]],CoreValuesResults[[#This Row],[Gracious Professionalism Score]])</f>
        <v>0</v>
      </c>
      <c r="V102" s="56">
        <f>IF(CoreValuesResults[[#This Row],[Team Number]]&gt;0,MIN(_xlfn.RANK.EQ(CoreValuesResults[[#This Row],[Core Values Score]],CoreValuesResults[Core Values Score],0),NumberOfTeams),NumberOfTeams+1)</f>
        <v>1</v>
      </c>
      <c r="W102" s="57"/>
      <c r="X102" s="57"/>
      <c r="Y102" s="57"/>
    </row>
    <row r="103" spans="1:25" ht="30" customHeight="1" x14ac:dyDescent="0.3">
      <c r="A103" s="115"/>
      <c r="B103" s="116" t="str">
        <f>IF(ISNA(INDEX(OfficialTeamList[Team Name],MATCH(CoreValuesResults[[#This Row],[Team Number]], OfficialTeamList[Team Number],0))),"",INDEX(OfficialTeamList[Team Name],MATCH(CoreValuesResults[[#This Row],[Team Number]], OfficialTeamList[Team Number],0)))</f>
        <v/>
      </c>
      <c r="C103" s="118">
        <f>'Innovation Project Input'!D103</f>
        <v>0</v>
      </c>
      <c r="D103" s="118">
        <f>InnovationProjectResults[[#This Row],[Design - Teamwork (CV)]]</f>
        <v>0</v>
      </c>
      <c r="E103" s="118">
        <f>InnovationProjectResults[[#This Row],[Create - Innovation (CV)]]</f>
        <v>0</v>
      </c>
      <c r="F103" s="118">
        <f>InnovationProjectResults[[#This Row],[Communicate - Impact (CV)]]</f>
        <v>0</v>
      </c>
      <c r="G103" s="118">
        <f>InnovationProjectResults[[#This Row],[Communicate - Fun (CV)]]</f>
        <v>0</v>
      </c>
      <c r="H103" s="118">
        <f>'Robot Design Input'!D103</f>
        <v>0</v>
      </c>
      <c r="I103" s="118">
        <f>'Robot Design Input'!E103</f>
        <v>0</v>
      </c>
      <c r="J103" s="118">
        <f>RobotDesignResults[[#This Row],[Iterate - Improvements (CV)]]</f>
        <v>0</v>
      </c>
      <c r="K103" s="118">
        <f>RobotDesignResults[[#This Row],[Communicate - Impact (CV)]]</f>
        <v>0</v>
      </c>
      <c r="L103" s="118">
        <f>RobotDesignResults[[#This Row],[Communicate - Fun (CV)]]</f>
        <v>0</v>
      </c>
      <c r="M103" s="115"/>
      <c r="N103" s="115"/>
      <c r="O103" s="115"/>
      <c r="P103" s="115"/>
      <c r="Q103" s="115"/>
      <c r="R103" s="115" t="str">
        <f>IF(CoreValuesResults[[#This Row],[Gracious Professionalism 1]]="","",COUNTIF(CoreValuesResults[[#This Row],[Gracious Professionalism 1]:[Gracious Professionalism 5]],""))</f>
        <v/>
      </c>
      <c r="S103" s="115" t="str">
        <f>IF(CoreValuesResults[[#This Row],[Gracious Professionalism 1]]="","",SUM(CoreValuesResults[[#This Row],[Gracious Professionalism 1]:[Gracious Professionalism 5]]))</f>
        <v/>
      </c>
      <c r="T103"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3" s="111">
        <f>SUM(CoreValuesResults[[#This Row],[Discovery (IP)]:[Fun (RD)]],CoreValuesResults[[#This Row],[Gracious Professionalism Score]])</f>
        <v>0</v>
      </c>
      <c r="V103" s="56">
        <f>IF(CoreValuesResults[[#This Row],[Team Number]]&gt;0,MIN(_xlfn.RANK.EQ(CoreValuesResults[[#This Row],[Core Values Score]],CoreValuesResults[Core Values Score],0),NumberOfTeams),NumberOfTeams+1)</f>
        <v>1</v>
      </c>
      <c r="W103" s="57"/>
      <c r="X103" s="57"/>
      <c r="Y103" s="57"/>
    </row>
    <row r="104" spans="1:25" ht="30" customHeight="1" x14ac:dyDescent="0.3">
      <c r="A104" s="115"/>
      <c r="B104" s="116" t="str">
        <f>IF(ISNA(INDEX(OfficialTeamList[Team Name],MATCH(CoreValuesResults[[#This Row],[Team Number]], OfficialTeamList[Team Number],0))),"",INDEX(OfficialTeamList[Team Name],MATCH(CoreValuesResults[[#This Row],[Team Number]], OfficialTeamList[Team Number],0)))</f>
        <v/>
      </c>
      <c r="C104" s="118">
        <f>'Innovation Project Input'!D104</f>
        <v>0</v>
      </c>
      <c r="D104" s="118">
        <f>InnovationProjectResults[[#This Row],[Design - Teamwork (CV)]]</f>
        <v>0</v>
      </c>
      <c r="E104" s="118">
        <f>InnovationProjectResults[[#This Row],[Create - Innovation (CV)]]</f>
        <v>0</v>
      </c>
      <c r="F104" s="118">
        <f>InnovationProjectResults[[#This Row],[Communicate - Impact (CV)]]</f>
        <v>0</v>
      </c>
      <c r="G104" s="118">
        <f>InnovationProjectResults[[#This Row],[Communicate - Fun (CV)]]</f>
        <v>0</v>
      </c>
      <c r="H104" s="118">
        <f>'Robot Design Input'!D104</f>
        <v>0</v>
      </c>
      <c r="I104" s="118">
        <f>'Robot Design Input'!E104</f>
        <v>0</v>
      </c>
      <c r="J104" s="118">
        <f>RobotDesignResults[[#This Row],[Iterate - Improvements (CV)]]</f>
        <v>0</v>
      </c>
      <c r="K104" s="118">
        <f>RobotDesignResults[[#This Row],[Communicate - Impact (CV)]]</f>
        <v>0</v>
      </c>
      <c r="L104" s="118">
        <f>RobotDesignResults[[#This Row],[Communicate - Fun (CV)]]</f>
        <v>0</v>
      </c>
      <c r="M104" s="115"/>
      <c r="N104" s="115"/>
      <c r="O104" s="115"/>
      <c r="P104" s="115"/>
      <c r="Q104" s="115"/>
      <c r="R104" s="115" t="str">
        <f>IF(CoreValuesResults[[#This Row],[Gracious Professionalism 1]]="","",COUNTIF(CoreValuesResults[[#This Row],[Gracious Professionalism 1]:[Gracious Professionalism 5]],""))</f>
        <v/>
      </c>
      <c r="S104" s="115" t="str">
        <f>IF(CoreValuesResults[[#This Row],[Gracious Professionalism 1]]="","",SUM(CoreValuesResults[[#This Row],[Gracious Professionalism 1]:[Gracious Professionalism 5]]))</f>
        <v/>
      </c>
      <c r="T104"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4" s="111">
        <f>SUM(CoreValuesResults[[#This Row],[Discovery (IP)]:[Fun (RD)]],CoreValuesResults[[#This Row],[Gracious Professionalism Score]])</f>
        <v>0</v>
      </c>
      <c r="V104" s="56">
        <f>IF(CoreValuesResults[[#This Row],[Team Number]]&gt;0,MIN(_xlfn.RANK.EQ(CoreValuesResults[[#This Row],[Core Values Score]],CoreValuesResults[Core Values Score],0),NumberOfTeams),NumberOfTeams+1)</f>
        <v>1</v>
      </c>
      <c r="W104" s="57"/>
      <c r="X104" s="57"/>
      <c r="Y104" s="57"/>
    </row>
    <row r="105" spans="1:25" ht="30" customHeight="1" x14ac:dyDescent="0.3">
      <c r="A105" s="115"/>
      <c r="B105" s="116" t="str">
        <f>IF(ISNA(INDEX(OfficialTeamList[Team Name],MATCH(CoreValuesResults[[#This Row],[Team Number]], OfficialTeamList[Team Number],0))),"",INDEX(OfficialTeamList[Team Name],MATCH(CoreValuesResults[[#This Row],[Team Number]], OfficialTeamList[Team Number],0)))</f>
        <v/>
      </c>
      <c r="C105" s="118">
        <f>'Innovation Project Input'!D105</f>
        <v>0</v>
      </c>
      <c r="D105" s="118">
        <f>InnovationProjectResults[[#This Row],[Design - Teamwork (CV)]]</f>
        <v>0</v>
      </c>
      <c r="E105" s="118">
        <f>InnovationProjectResults[[#This Row],[Create - Innovation (CV)]]</f>
        <v>0</v>
      </c>
      <c r="F105" s="118">
        <f>InnovationProjectResults[[#This Row],[Communicate - Impact (CV)]]</f>
        <v>0</v>
      </c>
      <c r="G105" s="118">
        <f>InnovationProjectResults[[#This Row],[Communicate - Fun (CV)]]</f>
        <v>0</v>
      </c>
      <c r="H105" s="118">
        <f>'Robot Design Input'!D105</f>
        <v>0</v>
      </c>
      <c r="I105" s="118">
        <f>'Robot Design Input'!E105</f>
        <v>0</v>
      </c>
      <c r="J105" s="118">
        <f>RobotDesignResults[[#This Row],[Iterate - Improvements (CV)]]</f>
        <v>0</v>
      </c>
      <c r="K105" s="118">
        <f>RobotDesignResults[[#This Row],[Communicate - Impact (CV)]]</f>
        <v>0</v>
      </c>
      <c r="L105" s="118">
        <f>RobotDesignResults[[#This Row],[Communicate - Fun (CV)]]</f>
        <v>0</v>
      </c>
      <c r="M105" s="115"/>
      <c r="N105" s="115"/>
      <c r="O105" s="115"/>
      <c r="P105" s="115"/>
      <c r="Q105" s="115"/>
      <c r="R105" s="115" t="str">
        <f>IF(CoreValuesResults[[#This Row],[Gracious Professionalism 1]]="","",COUNTIF(CoreValuesResults[[#This Row],[Gracious Professionalism 1]:[Gracious Professionalism 5]],""))</f>
        <v/>
      </c>
      <c r="S105" s="115" t="str">
        <f>IF(CoreValuesResults[[#This Row],[Gracious Professionalism 1]]="","",SUM(CoreValuesResults[[#This Row],[Gracious Professionalism 1]:[Gracious Professionalism 5]]))</f>
        <v/>
      </c>
      <c r="T105"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5" s="111">
        <f>SUM(CoreValuesResults[[#This Row],[Discovery (IP)]:[Fun (RD)]],CoreValuesResults[[#This Row],[Gracious Professionalism Score]])</f>
        <v>0</v>
      </c>
      <c r="V105" s="56">
        <f>IF(CoreValuesResults[[#This Row],[Team Number]]&gt;0,MIN(_xlfn.RANK.EQ(CoreValuesResults[[#This Row],[Core Values Score]],CoreValuesResults[Core Values Score],0),NumberOfTeams),NumberOfTeams+1)</f>
        <v>1</v>
      </c>
      <c r="W105" s="57"/>
      <c r="X105" s="57"/>
      <c r="Y105" s="57"/>
    </row>
    <row r="106" spans="1:25" ht="30" customHeight="1" x14ac:dyDescent="0.3">
      <c r="A106" s="115"/>
      <c r="B106" s="116" t="str">
        <f>IF(ISNA(INDEX(OfficialTeamList[Team Name],MATCH(CoreValuesResults[[#This Row],[Team Number]], OfficialTeamList[Team Number],0))),"",INDEX(OfficialTeamList[Team Name],MATCH(CoreValuesResults[[#This Row],[Team Number]], OfficialTeamList[Team Number],0)))</f>
        <v/>
      </c>
      <c r="C106" s="118">
        <f>'Innovation Project Input'!D106</f>
        <v>0</v>
      </c>
      <c r="D106" s="118">
        <f>InnovationProjectResults[[#This Row],[Design - Teamwork (CV)]]</f>
        <v>0</v>
      </c>
      <c r="E106" s="118">
        <f>InnovationProjectResults[[#This Row],[Create - Innovation (CV)]]</f>
        <v>0</v>
      </c>
      <c r="F106" s="118">
        <f>InnovationProjectResults[[#This Row],[Communicate - Impact (CV)]]</f>
        <v>0</v>
      </c>
      <c r="G106" s="118">
        <f>InnovationProjectResults[[#This Row],[Communicate - Fun (CV)]]</f>
        <v>0</v>
      </c>
      <c r="H106" s="118">
        <f>'Robot Design Input'!D106</f>
        <v>0</v>
      </c>
      <c r="I106" s="118">
        <f>'Robot Design Input'!E106</f>
        <v>0</v>
      </c>
      <c r="J106" s="118">
        <f>RobotDesignResults[[#This Row],[Iterate - Improvements (CV)]]</f>
        <v>0</v>
      </c>
      <c r="K106" s="118">
        <f>RobotDesignResults[[#This Row],[Communicate - Impact (CV)]]</f>
        <v>0</v>
      </c>
      <c r="L106" s="118">
        <f>RobotDesignResults[[#This Row],[Communicate - Fun (CV)]]</f>
        <v>0</v>
      </c>
      <c r="M106" s="115"/>
      <c r="N106" s="115"/>
      <c r="O106" s="115"/>
      <c r="P106" s="115"/>
      <c r="Q106" s="115"/>
      <c r="R106" s="115" t="str">
        <f>IF(CoreValuesResults[[#This Row],[Gracious Professionalism 1]]="","",COUNTIF(CoreValuesResults[[#This Row],[Gracious Professionalism 1]:[Gracious Professionalism 5]],""))</f>
        <v/>
      </c>
      <c r="S106" s="115" t="str">
        <f>IF(CoreValuesResults[[#This Row],[Gracious Professionalism 1]]="","",SUM(CoreValuesResults[[#This Row],[Gracious Professionalism 1]:[Gracious Professionalism 5]]))</f>
        <v/>
      </c>
      <c r="T106"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6" s="111">
        <f>SUM(CoreValuesResults[[#This Row],[Discovery (IP)]:[Fun (RD)]],CoreValuesResults[[#This Row],[Gracious Professionalism Score]])</f>
        <v>0</v>
      </c>
      <c r="V106" s="56">
        <f>IF(CoreValuesResults[[#This Row],[Team Number]]&gt;0,MIN(_xlfn.RANK.EQ(CoreValuesResults[[#This Row],[Core Values Score]],CoreValuesResults[Core Values Score],0),NumberOfTeams),NumberOfTeams+1)</f>
        <v>1</v>
      </c>
      <c r="W106" s="57"/>
      <c r="X106" s="57"/>
      <c r="Y106" s="57"/>
    </row>
    <row r="107" spans="1:25" ht="30" customHeight="1" x14ac:dyDescent="0.3">
      <c r="A107" s="115"/>
      <c r="B107" s="116" t="str">
        <f>IF(ISNA(INDEX(OfficialTeamList[Team Name],MATCH(CoreValuesResults[[#This Row],[Team Number]], OfficialTeamList[Team Number],0))),"",INDEX(OfficialTeamList[Team Name],MATCH(CoreValuesResults[[#This Row],[Team Number]], OfficialTeamList[Team Number],0)))</f>
        <v/>
      </c>
      <c r="C107" s="118">
        <f>'Innovation Project Input'!D107</f>
        <v>0</v>
      </c>
      <c r="D107" s="118">
        <f>InnovationProjectResults[[#This Row],[Design - Teamwork (CV)]]</f>
        <v>0</v>
      </c>
      <c r="E107" s="118">
        <f>InnovationProjectResults[[#This Row],[Create - Innovation (CV)]]</f>
        <v>0</v>
      </c>
      <c r="F107" s="118">
        <f>InnovationProjectResults[[#This Row],[Communicate - Impact (CV)]]</f>
        <v>0</v>
      </c>
      <c r="G107" s="118">
        <f>InnovationProjectResults[[#This Row],[Communicate - Fun (CV)]]</f>
        <v>0</v>
      </c>
      <c r="H107" s="118">
        <f>'Robot Design Input'!D107</f>
        <v>0</v>
      </c>
      <c r="I107" s="118">
        <f>'Robot Design Input'!E107</f>
        <v>0</v>
      </c>
      <c r="J107" s="118">
        <f>RobotDesignResults[[#This Row],[Iterate - Improvements (CV)]]</f>
        <v>0</v>
      </c>
      <c r="K107" s="118">
        <f>RobotDesignResults[[#This Row],[Communicate - Impact (CV)]]</f>
        <v>0</v>
      </c>
      <c r="L107" s="118">
        <f>RobotDesignResults[[#This Row],[Communicate - Fun (CV)]]</f>
        <v>0</v>
      </c>
      <c r="M107" s="115"/>
      <c r="N107" s="115"/>
      <c r="O107" s="115"/>
      <c r="P107" s="115"/>
      <c r="Q107" s="115"/>
      <c r="R107" s="115" t="str">
        <f>IF(CoreValuesResults[[#This Row],[Gracious Professionalism 1]]="","",COUNTIF(CoreValuesResults[[#This Row],[Gracious Professionalism 1]:[Gracious Professionalism 5]],""))</f>
        <v/>
      </c>
      <c r="S107" s="115" t="str">
        <f>IF(CoreValuesResults[[#This Row],[Gracious Professionalism 1]]="","",SUM(CoreValuesResults[[#This Row],[Gracious Professionalism 1]:[Gracious Professionalism 5]]))</f>
        <v/>
      </c>
      <c r="T107"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7" s="111">
        <f>SUM(CoreValuesResults[[#This Row],[Discovery (IP)]:[Fun (RD)]],CoreValuesResults[[#This Row],[Gracious Professionalism Score]])</f>
        <v>0</v>
      </c>
      <c r="V107" s="56">
        <f>IF(CoreValuesResults[[#This Row],[Team Number]]&gt;0,MIN(_xlfn.RANK.EQ(CoreValuesResults[[#This Row],[Core Values Score]],CoreValuesResults[Core Values Score],0),NumberOfTeams),NumberOfTeams+1)</f>
        <v>1</v>
      </c>
      <c r="W107" s="57"/>
      <c r="X107" s="57"/>
      <c r="Y107" s="57"/>
    </row>
    <row r="108" spans="1:25" ht="30" customHeight="1" x14ac:dyDescent="0.3">
      <c r="A108" s="115"/>
      <c r="B108" s="116" t="str">
        <f>IF(ISNA(INDEX(OfficialTeamList[Team Name],MATCH(CoreValuesResults[[#This Row],[Team Number]], OfficialTeamList[Team Number],0))),"",INDEX(OfficialTeamList[Team Name],MATCH(CoreValuesResults[[#This Row],[Team Number]], OfficialTeamList[Team Number],0)))</f>
        <v/>
      </c>
      <c r="C108" s="118">
        <f>'Innovation Project Input'!D108</f>
        <v>0</v>
      </c>
      <c r="D108" s="118">
        <f>InnovationProjectResults[[#This Row],[Design - Teamwork (CV)]]</f>
        <v>0</v>
      </c>
      <c r="E108" s="118">
        <f>InnovationProjectResults[[#This Row],[Create - Innovation (CV)]]</f>
        <v>0</v>
      </c>
      <c r="F108" s="118">
        <f>InnovationProjectResults[[#This Row],[Communicate - Impact (CV)]]</f>
        <v>0</v>
      </c>
      <c r="G108" s="118">
        <f>InnovationProjectResults[[#This Row],[Communicate - Fun (CV)]]</f>
        <v>0</v>
      </c>
      <c r="H108" s="118">
        <f>'Robot Design Input'!D108</f>
        <v>0</v>
      </c>
      <c r="I108" s="118">
        <f>'Robot Design Input'!E108</f>
        <v>0</v>
      </c>
      <c r="J108" s="118">
        <f>RobotDesignResults[[#This Row],[Iterate - Improvements (CV)]]</f>
        <v>0</v>
      </c>
      <c r="K108" s="118">
        <f>RobotDesignResults[[#This Row],[Communicate - Impact (CV)]]</f>
        <v>0</v>
      </c>
      <c r="L108" s="118">
        <f>RobotDesignResults[[#This Row],[Communicate - Fun (CV)]]</f>
        <v>0</v>
      </c>
      <c r="M108" s="115"/>
      <c r="N108" s="115"/>
      <c r="O108" s="115"/>
      <c r="P108" s="115"/>
      <c r="Q108" s="115"/>
      <c r="R108" s="115" t="str">
        <f>IF(CoreValuesResults[[#This Row],[Gracious Professionalism 1]]="","",COUNTIF(CoreValuesResults[[#This Row],[Gracious Professionalism 1]:[Gracious Professionalism 5]],""))</f>
        <v/>
      </c>
      <c r="S108" s="115" t="str">
        <f>IF(CoreValuesResults[[#This Row],[Gracious Professionalism 1]]="","",SUM(CoreValuesResults[[#This Row],[Gracious Professionalism 1]:[Gracious Professionalism 5]]))</f>
        <v/>
      </c>
      <c r="T108"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8" s="111">
        <f>SUM(CoreValuesResults[[#This Row],[Discovery (IP)]:[Fun (RD)]],CoreValuesResults[[#This Row],[Gracious Professionalism Score]])</f>
        <v>0</v>
      </c>
      <c r="V108" s="56">
        <f>IF(CoreValuesResults[[#This Row],[Team Number]]&gt;0,MIN(_xlfn.RANK.EQ(CoreValuesResults[[#This Row],[Core Values Score]],CoreValuesResults[Core Values Score],0),NumberOfTeams),NumberOfTeams+1)</f>
        <v>1</v>
      </c>
      <c r="W108" s="57"/>
      <c r="X108" s="57"/>
      <c r="Y108" s="57"/>
    </row>
    <row r="109" spans="1:25" ht="30" customHeight="1" x14ac:dyDescent="0.3">
      <c r="A109" s="115"/>
      <c r="B109" s="116" t="str">
        <f>IF(ISNA(INDEX(OfficialTeamList[Team Name],MATCH(CoreValuesResults[[#This Row],[Team Number]], OfficialTeamList[Team Number],0))),"",INDEX(OfficialTeamList[Team Name],MATCH(CoreValuesResults[[#This Row],[Team Number]], OfficialTeamList[Team Number],0)))</f>
        <v/>
      </c>
      <c r="C109" s="118">
        <f>'Innovation Project Input'!D109</f>
        <v>0</v>
      </c>
      <c r="D109" s="118">
        <f>InnovationProjectResults[[#This Row],[Design - Teamwork (CV)]]</f>
        <v>0</v>
      </c>
      <c r="E109" s="118">
        <f>InnovationProjectResults[[#This Row],[Create - Innovation (CV)]]</f>
        <v>0</v>
      </c>
      <c r="F109" s="118">
        <f>InnovationProjectResults[[#This Row],[Communicate - Impact (CV)]]</f>
        <v>0</v>
      </c>
      <c r="G109" s="118">
        <f>InnovationProjectResults[[#This Row],[Communicate - Fun (CV)]]</f>
        <v>0</v>
      </c>
      <c r="H109" s="118">
        <f>'Robot Design Input'!D109</f>
        <v>0</v>
      </c>
      <c r="I109" s="118">
        <f>'Robot Design Input'!E109</f>
        <v>0</v>
      </c>
      <c r="J109" s="118">
        <f>RobotDesignResults[[#This Row],[Iterate - Improvements (CV)]]</f>
        <v>0</v>
      </c>
      <c r="K109" s="118">
        <f>RobotDesignResults[[#This Row],[Communicate - Impact (CV)]]</f>
        <v>0</v>
      </c>
      <c r="L109" s="118">
        <f>RobotDesignResults[[#This Row],[Communicate - Fun (CV)]]</f>
        <v>0</v>
      </c>
      <c r="M109" s="115"/>
      <c r="N109" s="115"/>
      <c r="O109" s="115"/>
      <c r="P109" s="115"/>
      <c r="Q109" s="115"/>
      <c r="R109" s="115" t="str">
        <f>IF(CoreValuesResults[[#This Row],[Gracious Professionalism 1]]="","",COUNTIF(CoreValuesResults[[#This Row],[Gracious Professionalism 1]:[Gracious Professionalism 5]],""))</f>
        <v/>
      </c>
      <c r="S109" s="115" t="str">
        <f>IF(CoreValuesResults[[#This Row],[Gracious Professionalism 1]]="","",SUM(CoreValuesResults[[#This Row],[Gracious Professionalism 1]:[Gracious Professionalism 5]]))</f>
        <v/>
      </c>
      <c r="T109" s="115"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9" s="111">
        <f>SUM(CoreValuesResults[[#This Row],[Discovery (IP)]:[Fun (RD)]],CoreValuesResults[[#This Row],[Gracious Professionalism Score]])</f>
        <v>0</v>
      </c>
      <c r="V109" s="56">
        <f>IF(CoreValuesResults[[#This Row],[Team Number]]&gt;0,MIN(_xlfn.RANK.EQ(CoreValuesResults[[#This Row],[Core Values Score]],CoreValuesResults[Core Values Score],0),NumberOfTeams),NumberOfTeams+1)</f>
        <v>1</v>
      </c>
      <c r="W109" s="57"/>
      <c r="X109" s="57"/>
      <c r="Y109" s="57"/>
    </row>
  </sheetData>
  <sheetProtection selectLockedCells="1" sort="0" autoFilter="0"/>
  <protectedRanges>
    <protectedRange sqref="Z1:AE1048575 B110:B1048575 A1:XFD1 U2:V1048575" name="AllowSortCV"/>
    <protectedRange sqref="B2:B109" name="AllowIPSort_1"/>
  </protectedRanges>
  <phoneticPr fontId="18" type="noConversion"/>
  <conditionalFormatting sqref="A2:A109 C2:Y109">
    <cfRule type="expression" dxfId="79" priority="22">
      <formula>MOD(ROW(),2)</formula>
    </cfRule>
  </conditionalFormatting>
  <conditionalFormatting sqref="W2:Y109">
    <cfRule type="cellIs" dxfId="78" priority="21" operator="equal">
      <formula>TRUE</formula>
    </cfRule>
  </conditionalFormatting>
  <conditionalFormatting sqref="A2:A109 C2:Y109">
    <cfRule type="expression" dxfId="77" priority="14">
      <formula>ROW()-NumberOfTeams=1</formula>
    </cfRule>
  </conditionalFormatting>
  <conditionalFormatting sqref="B2:B109">
    <cfRule type="expression" dxfId="76" priority="2">
      <formula>MOD(ROW(),2)</formula>
    </cfRule>
  </conditionalFormatting>
  <conditionalFormatting sqref="B2:B109">
    <cfRule type="expression" dxfId="75" priority="1">
      <formula>ROW()-NumberOfTeams=1</formula>
    </cfRule>
  </conditionalFormatting>
  <dataValidations disablePrompts="1" count="1">
    <dataValidation type="list" allowBlank="1" showInputMessage="1" showErrorMessage="1" sqref="W2:Y109" xr:uid="{00000000-0002-0000-0500-000000000000}">
      <formula1>$AD$2:$AD$3</formula1>
    </dataValidation>
  </dataValidations>
  <printOptions horizontalCentered="1"/>
  <pageMargins left="0.25" right="0.25" top="0.75" bottom="0.75" header="0.3" footer="0.3"/>
  <pageSetup scale="76" fitToHeight="0" orientation="portrait" horizontalDpi="1200" verticalDpi="1200" r:id="rId1"/>
  <headerFooter>
    <oddHeader>&amp;C&amp;"-,Bold"&amp;36Core Values Input</oddHeader>
  </headerFooter>
  <ignoredErrors>
    <ignoredError sqref="R2:S2" unlockedFormula="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61"/>
  <sheetViews>
    <sheetView workbookViewId="0">
      <selection activeCell="E1" sqref="E1"/>
    </sheetView>
  </sheetViews>
  <sheetFormatPr defaultColWidth="10.88671875" defaultRowHeight="14.4" x14ac:dyDescent="0.3"/>
  <sheetData>
    <row r="1" spans="1:8" x14ac:dyDescent="0.3">
      <c r="A1" s="65" t="s">
        <v>63</v>
      </c>
      <c r="B1" s="65" t="s">
        <v>64</v>
      </c>
      <c r="C1" s="65" t="s">
        <v>65</v>
      </c>
      <c r="D1" s="65">
        <v>1</v>
      </c>
      <c r="E1" s="65">
        <v>2</v>
      </c>
      <c r="F1" s="65">
        <v>3</v>
      </c>
      <c r="G1" s="65">
        <v>4</v>
      </c>
      <c r="H1" s="65">
        <v>5</v>
      </c>
    </row>
    <row r="2" spans="1:8" x14ac:dyDescent="0.3">
      <c r="A2" s="65"/>
      <c r="B2" s="65"/>
      <c r="C2" s="65"/>
      <c r="D2" s="65"/>
      <c r="E2" s="65"/>
      <c r="F2" s="65"/>
      <c r="G2" s="65"/>
      <c r="H2" s="65"/>
    </row>
    <row r="3" spans="1:8" x14ac:dyDescent="0.3">
      <c r="A3" s="65"/>
      <c r="B3" s="65"/>
      <c r="C3" s="65"/>
      <c r="D3" s="65"/>
      <c r="E3" s="65"/>
      <c r="F3" s="65"/>
      <c r="G3" s="65"/>
      <c r="H3" s="65"/>
    </row>
    <row r="4" spans="1:8" x14ac:dyDescent="0.3">
      <c r="A4" s="65"/>
      <c r="B4" s="65"/>
      <c r="C4" s="65"/>
      <c r="D4" s="65"/>
      <c r="E4" s="65"/>
      <c r="F4" s="65"/>
      <c r="G4" s="65"/>
      <c r="H4" s="65"/>
    </row>
    <row r="5" spans="1:8" x14ac:dyDescent="0.3">
      <c r="A5" s="65"/>
      <c r="B5" s="65"/>
      <c r="C5" s="65"/>
      <c r="D5" s="65"/>
      <c r="E5" s="65"/>
      <c r="F5" s="65"/>
      <c r="G5" s="65"/>
      <c r="H5" s="65"/>
    </row>
    <row r="6" spans="1:8" x14ac:dyDescent="0.3">
      <c r="A6" s="65"/>
      <c r="B6" s="65"/>
      <c r="C6" s="65"/>
      <c r="D6" s="65"/>
      <c r="E6" s="65"/>
      <c r="F6" s="65"/>
      <c r="G6" s="65"/>
      <c r="H6" s="65"/>
    </row>
    <row r="7" spans="1:8" x14ac:dyDescent="0.3">
      <c r="A7" s="65"/>
      <c r="B7" s="65"/>
      <c r="C7" s="65"/>
      <c r="D7" s="65"/>
      <c r="E7" s="65"/>
      <c r="F7" s="65"/>
      <c r="G7" s="65"/>
      <c r="H7" s="65"/>
    </row>
    <row r="8" spans="1:8" x14ac:dyDescent="0.3">
      <c r="A8" s="65"/>
      <c r="B8" s="65"/>
      <c r="C8" s="65"/>
      <c r="D8" s="65"/>
      <c r="E8" s="65"/>
      <c r="F8" s="65"/>
      <c r="G8" s="65"/>
      <c r="H8" s="65"/>
    </row>
    <row r="9" spans="1:8" x14ac:dyDescent="0.3">
      <c r="A9" s="65"/>
      <c r="B9" s="65"/>
      <c r="C9" s="65"/>
      <c r="D9" s="65"/>
      <c r="E9" s="65"/>
      <c r="F9" s="65"/>
      <c r="G9" s="65"/>
      <c r="H9" s="65"/>
    </row>
    <row r="10" spans="1:8" x14ac:dyDescent="0.3">
      <c r="A10" s="65"/>
      <c r="B10" s="65"/>
      <c r="C10" s="65"/>
      <c r="D10" s="65"/>
      <c r="E10" s="65"/>
      <c r="F10" s="65"/>
      <c r="G10" s="65"/>
      <c r="H10" s="65"/>
    </row>
    <row r="11" spans="1:8" x14ac:dyDescent="0.3">
      <c r="A11" s="65"/>
      <c r="B11" s="65"/>
      <c r="C11" s="65"/>
      <c r="D11" s="65"/>
      <c r="E11" s="65"/>
      <c r="F11" s="65"/>
      <c r="G11" s="65"/>
      <c r="H11" s="65"/>
    </row>
    <row r="12" spans="1:8" x14ac:dyDescent="0.3">
      <c r="A12" s="65"/>
      <c r="B12" s="65"/>
      <c r="C12" s="65"/>
      <c r="D12" s="65"/>
      <c r="E12" s="65"/>
      <c r="F12" s="65"/>
      <c r="G12" s="65"/>
      <c r="H12" s="65"/>
    </row>
    <row r="13" spans="1:8" x14ac:dyDescent="0.3">
      <c r="A13" s="65"/>
      <c r="B13" s="65"/>
      <c r="C13" s="65"/>
      <c r="D13" s="65"/>
      <c r="E13" s="65"/>
      <c r="F13" s="65"/>
      <c r="G13" s="65"/>
      <c r="H13" s="65"/>
    </row>
    <row r="14" spans="1:8" x14ac:dyDescent="0.3">
      <c r="A14" s="65"/>
      <c r="B14" s="65"/>
      <c r="C14" s="65"/>
      <c r="D14" s="65"/>
      <c r="E14" s="65"/>
      <c r="F14" s="65"/>
      <c r="G14" s="65"/>
      <c r="H14" s="65"/>
    </row>
    <row r="15" spans="1:8" x14ac:dyDescent="0.3">
      <c r="A15" s="65"/>
      <c r="B15" s="65"/>
      <c r="C15" s="65"/>
      <c r="D15" s="65"/>
      <c r="E15" s="65"/>
      <c r="F15" s="65"/>
      <c r="G15" s="65"/>
      <c r="H15" s="65"/>
    </row>
    <row r="16" spans="1:8" x14ac:dyDescent="0.3">
      <c r="A16" s="65"/>
      <c r="B16" s="65"/>
      <c r="C16" s="65"/>
      <c r="D16" s="65"/>
      <c r="E16" s="65"/>
      <c r="F16" s="65"/>
      <c r="G16" s="65"/>
      <c r="H16" s="65"/>
    </row>
    <row r="17" spans="1:8" x14ac:dyDescent="0.3">
      <c r="A17" s="65"/>
      <c r="B17" s="65"/>
      <c r="C17" s="65"/>
      <c r="D17" s="65"/>
      <c r="E17" s="65"/>
      <c r="F17" s="65"/>
      <c r="G17" s="65"/>
      <c r="H17" s="65"/>
    </row>
    <row r="18" spans="1:8" x14ac:dyDescent="0.3">
      <c r="A18" s="65"/>
      <c r="B18" s="65"/>
      <c r="C18" s="65"/>
      <c r="D18" s="65"/>
      <c r="E18" s="65"/>
      <c r="F18" s="65"/>
      <c r="G18" s="65"/>
      <c r="H18" s="65"/>
    </row>
    <row r="19" spans="1:8" x14ac:dyDescent="0.3">
      <c r="A19" s="65"/>
      <c r="B19" s="65"/>
      <c r="C19" s="65"/>
      <c r="D19" s="65"/>
      <c r="E19" s="65"/>
      <c r="F19" s="65"/>
      <c r="G19" s="65"/>
      <c r="H19" s="65"/>
    </row>
    <row r="20" spans="1:8" x14ac:dyDescent="0.3">
      <c r="A20" s="65"/>
      <c r="B20" s="65"/>
      <c r="C20" s="65"/>
      <c r="D20" s="65"/>
      <c r="E20" s="65"/>
      <c r="F20" s="65"/>
      <c r="G20" s="65"/>
      <c r="H20" s="65"/>
    </row>
    <row r="21" spans="1:8" x14ac:dyDescent="0.3">
      <c r="A21" s="65"/>
      <c r="B21" s="65"/>
      <c r="C21" s="65"/>
      <c r="D21" s="65"/>
      <c r="E21" s="65"/>
      <c r="F21" s="65"/>
      <c r="G21" s="65"/>
      <c r="H21" s="65"/>
    </row>
    <row r="22" spans="1:8" x14ac:dyDescent="0.3">
      <c r="A22" s="65"/>
      <c r="B22" s="65"/>
      <c r="C22" s="65"/>
      <c r="D22" s="65"/>
      <c r="E22" s="65"/>
      <c r="F22" s="65"/>
      <c r="G22" s="65"/>
      <c r="H22" s="65"/>
    </row>
    <row r="23" spans="1:8" x14ac:dyDescent="0.3">
      <c r="A23" s="65"/>
      <c r="B23" s="65"/>
      <c r="C23" s="65"/>
      <c r="D23" s="65"/>
      <c r="E23" s="65"/>
      <c r="F23" s="65"/>
      <c r="G23" s="65"/>
      <c r="H23" s="65"/>
    </row>
    <row r="24" spans="1:8" x14ac:dyDescent="0.3">
      <c r="A24" s="65"/>
      <c r="B24" s="65"/>
      <c r="C24" s="65"/>
      <c r="D24" s="65"/>
      <c r="E24" s="65"/>
      <c r="F24" s="65"/>
      <c r="G24" s="65"/>
      <c r="H24" s="65"/>
    </row>
    <row r="25" spans="1:8" x14ac:dyDescent="0.3">
      <c r="A25" s="65"/>
      <c r="B25" s="65"/>
      <c r="C25" s="65"/>
      <c r="D25" s="65"/>
      <c r="E25" s="65"/>
      <c r="F25" s="65"/>
      <c r="G25" s="65"/>
      <c r="H25" s="65"/>
    </row>
    <row r="26" spans="1:8" x14ac:dyDescent="0.3">
      <c r="A26" s="65"/>
      <c r="B26" s="65"/>
      <c r="C26" s="65"/>
      <c r="D26" s="65"/>
      <c r="E26" s="65"/>
      <c r="F26" s="65"/>
      <c r="G26" s="65"/>
      <c r="H26" s="65"/>
    </row>
    <row r="27" spans="1:8" x14ac:dyDescent="0.3">
      <c r="A27" s="65"/>
      <c r="B27" s="65"/>
      <c r="C27" s="65"/>
      <c r="D27" s="65"/>
      <c r="E27" s="65"/>
      <c r="F27" s="65"/>
      <c r="G27" s="65"/>
      <c r="H27" s="65"/>
    </row>
    <row r="28" spans="1:8" x14ac:dyDescent="0.3">
      <c r="A28" s="65"/>
      <c r="B28" s="65"/>
      <c r="C28" s="65"/>
      <c r="D28" s="65"/>
      <c r="E28" s="65"/>
      <c r="F28" s="65"/>
      <c r="G28" s="65"/>
      <c r="H28" s="65"/>
    </row>
    <row r="29" spans="1:8" x14ac:dyDescent="0.3">
      <c r="A29" s="65"/>
      <c r="B29" s="65"/>
      <c r="C29" s="65"/>
      <c r="D29" s="65"/>
      <c r="E29" s="65"/>
      <c r="F29" s="65"/>
      <c r="G29" s="65"/>
      <c r="H29" s="65"/>
    </row>
    <row r="30" spans="1:8" x14ac:dyDescent="0.3">
      <c r="A30" s="65"/>
      <c r="B30" s="65"/>
      <c r="C30" s="65"/>
      <c r="D30" s="65"/>
      <c r="E30" s="65"/>
      <c r="F30" s="65"/>
      <c r="G30" s="65"/>
      <c r="H30" s="65"/>
    </row>
    <row r="31" spans="1:8" x14ac:dyDescent="0.3">
      <c r="A31" s="65"/>
      <c r="B31" s="65"/>
      <c r="C31" s="65"/>
      <c r="D31" s="65"/>
      <c r="E31" s="65"/>
      <c r="F31" s="65"/>
      <c r="G31" s="65"/>
      <c r="H31" s="65"/>
    </row>
    <row r="32" spans="1:8" x14ac:dyDescent="0.3">
      <c r="A32" s="65"/>
      <c r="B32" s="65"/>
      <c r="C32" s="65"/>
      <c r="D32" s="65"/>
      <c r="E32" s="65"/>
      <c r="F32" s="65"/>
      <c r="G32" s="65"/>
      <c r="H32" s="65"/>
    </row>
    <row r="33" spans="1:8" x14ac:dyDescent="0.3">
      <c r="A33" s="65"/>
      <c r="B33" s="65"/>
      <c r="C33" s="65"/>
      <c r="D33" s="65"/>
      <c r="E33" s="65"/>
      <c r="F33" s="65"/>
      <c r="G33" s="65"/>
      <c r="H33" s="65"/>
    </row>
    <row r="34" spans="1:8" x14ac:dyDescent="0.3">
      <c r="A34" s="65"/>
      <c r="B34" s="65"/>
      <c r="C34" s="65"/>
      <c r="D34" s="65"/>
      <c r="E34" s="65"/>
      <c r="F34" s="65"/>
      <c r="G34" s="65"/>
      <c r="H34" s="65"/>
    </row>
    <row r="35" spans="1:8" x14ac:dyDescent="0.3">
      <c r="A35" s="65"/>
      <c r="B35" s="65"/>
      <c r="C35" s="65"/>
      <c r="D35" s="65"/>
      <c r="E35" s="65"/>
      <c r="F35" s="65"/>
      <c r="G35" s="65"/>
      <c r="H35" s="65"/>
    </row>
    <row r="36" spans="1:8" x14ac:dyDescent="0.3">
      <c r="A36" s="65"/>
      <c r="B36" s="65"/>
      <c r="C36" s="65"/>
      <c r="D36" s="65"/>
      <c r="E36" s="65"/>
      <c r="F36" s="65"/>
      <c r="G36" s="65"/>
      <c r="H36" s="65"/>
    </row>
    <row r="37" spans="1:8" x14ac:dyDescent="0.3">
      <c r="A37" s="65"/>
      <c r="B37" s="65"/>
      <c r="C37" s="65"/>
      <c r="D37" s="65"/>
      <c r="E37" s="65"/>
      <c r="F37" s="65"/>
      <c r="G37" s="65"/>
      <c r="H37" s="65"/>
    </row>
    <row r="38" spans="1:8" x14ac:dyDescent="0.3">
      <c r="A38" s="65"/>
      <c r="B38" s="65"/>
      <c r="C38" s="65"/>
      <c r="D38" s="65"/>
      <c r="E38" s="65"/>
      <c r="F38" s="65"/>
      <c r="G38" s="65"/>
      <c r="H38" s="65"/>
    </row>
    <row r="39" spans="1:8" x14ac:dyDescent="0.3">
      <c r="A39" s="65"/>
      <c r="B39" s="65"/>
      <c r="C39" s="65"/>
      <c r="D39" s="65"/>
      <c r="E39" s="65"/>
      <c r="F39" s="65"/>
      <c r="G39" s="65"/>
      <c r="H39" s="65"/>
    </row>
    <row r="40" spans="1:8" x14ac:dyDescent="0.3">
      <c r="A40" s="65"/>
      <c r="B40" s="65"/>
      <c r="C40" s="65"/>
      <c r="D40" s="65"/>
      <c r="E40" s="65"/>
      <c r="F40" s="65"/>
      <c r="G40" s="65"/>
      <c r="H40" s="65"/>
    </row>
    <row r="41" spans="1:8" x14ac:dyDescent="0.3">
      <c r="A41" s="65"/>
      <c r="B41" s="65"/>
      <c r="C41" s="65"/>
      <c r="D41" s="65"/>
      <c r="E41" s="65"/>
      <c r="F41" s="65"/>
      <c r="G41" s="65"/>
      <c r="H41" s="65"/>
    </row>
    <row r="42" spans="1:8" x14ac:dyDescent="0.3">
      <c r="A42" s="65"/>
      <c r="B42" s="65"/>
      <c r="C42" s="65"/>
      <c r="D42" s="65"/>
      <c r="E42" s="65"/>
      <c r="F42" s="65"/>
      <c r="G42" s="65"/>
      <c r="H42" s="65"/>
    </row>
    <row r="43" spans="1:8" x14ac:dyDescent="0.3">
      <c r="A43" s="65"/>
      <c r="B43" s="65"/>
      <c r="C43" s="65"/>
      <c r="D43" s="65"/>
      <c r="E43" s="65"/>
      <c r="F43" s="65"/>
      <c r="G43" s="65"/>
      <c r="H43" s="65"/>
    </row>
    <row r="44" spans="1:8" x14ac:dyDescent="0.3">
      <c r="A44" s="65"/>
      <c r="B44" s="65"/>
      <c r="C44" s="65"/>
      <c r="D44" s="65"/>
      <c r="E44" s="65"/>
      <c r="F44" s="65"/>
      <c r="G44" s="65"/>
      <c r="H44" s="65"/>
    </row>
    <row r="45" spans="1:8" x14ac:dyDescent="0.3">
      <c r="A45" s="65"/>
      <c r="B45" s="65"/>
      <c r="C45" s="65"/>
      <c r="D45" s="65"/>
      <c r="E45" s="65"/>
      <c r="F45" s="65"/>
      <c r="G45" s="65"/>
      <c r="H45" s="65"/>
    </row>
    <row r="46" spans="1:8" x14ac:dyDescent="0.3">
      <c r="A46" s="65"/>
      <c r="B46" s="65"/>
      <c r="C46" s="65"/>
      <c r="D46" s="65"/>
      <c r="E46" s="65"/>
      <c r="F46" s="65"/>
      <c r="G46" s="65"/>
      <c r="H46" s="65"/>
    </row>
    <row r="47" spans="1:8" x14ac:dyDescent="0.3">
      <c r="A47" s="65"/>
      <c r="B47" s="65"/>
      <c r="C47" s="65"/>
      <c r="D47" s="65"/>
      <c r="E47" s="65"/>
      <c r="F47" s="65"/>
      <c r="G47" s="65"/>
      <c r="H47" s="65"/>
    </row>
    <row r="48" spans="1:8" x14ac:dyDescent="0.3">
      <c r="A48" s="65"/>
      <c r="B48" s="65"/>
      <c r="C48" s="65"/>
      <c r="D48" s="65"/>
      <c r="E48" s="65"/>
      <c r="F48" s="65"/>
      <c r="G48" s="65"/>
      <c r="H48" s="65"/>
    </row>
    <row r="49" spans="1:8" x14ac:dyDescent="0.3">
      <c r="A49" s="65"/>
      <c r="B49" s="65"/>
      <c r="C49" s="65"/>
      <c r="D49" s="65"/>
      <c r="E49" s="65"/>
      <c r="F49" s="65"/>
      <c r="G49" s="65"/>
      <c r="H49" s="65"/>
    </row>
    <row r="50" spans="1:8" x14ac:dyDescent="0.3">
      <c r="A50" s="65"/>
      <c r="B50" s="65"/>
      <c r="C50" s="65"/>
      <c r="D50" s="65"/>
      <c r="E50" s="65"/>
      <c r="F50" s="65"/>
      <c r="G50" s="65"/>
      <c r="H50" s="65"/>
    </row>
    <row r="51" spans="1:8" x14ac:dyDescent="0.3">
      <c r="A51" s="65"/>
      <c r="B51" s="65"/>
      <c r="C51" s="65"/>
      <c r="D51" s="65"/>
      <c r="E51" s="65"/>
      <c r="F51" s="65"/>
      <c r="G51" s="65"/>
      <c r="H51" s="65"/>
    </row>
    <row r="52" spans="1:8" x14ac:dyDescent="0.3">
      <c r="A52" s="65"/>
      <c r="B52" s="65"/>
      <c r="C52" s="65"/>
      <c r="D52" s="65"/>
      <c r="E52" s="65"/>
      <c r="F52" s="65"/>
      <c r="G52" s="65"/>
      <c r="H52" s="65"/>
    </row>
    <row r="53" spans="1:8" x14ac:dyDescent="0.3">
      <c r="A53" s="65"/>
      <c r="B53" s="65"/>
      <c r="C53" s="65"/>
      <c r="D53" s="65"/>
      <c r="E53" s="65"/>
      <c r="F53" s="65"/>
      <c r="G53" s="65"/>
      <c r="H53" s="65"/>
    </row>
    <row r="54" spans="1:8" x14ac:dyDescent="0.3">
      <c r="A54" s="65"/>
      <c r="B54" s="65"/>
      <c r="C54" s="65"/>
      <c r="D54" s="65"/>
      <c r="E54" s="65"/>
      <c r="F54" s="65"/>
      <c r="G54" s="65"/>
      <c r="H54" s="65"/>
    </row>
    <row r="55" spans="1:8" x14ac:dyDescent="0.3">
      <c r="A55" s="65"/>
      <c r="B55" s="65"/>
      <c r="C55" s="65"/>
      <c r="D55" s="65"/>
      <c r="E55" s="65"/>
      <c r="F55" s="65"/>
      <c r="G55" s="65"/>
      <c r="H55" s="65"/>
    </row>
    <row r="56" spans="1:8" x14ac:dyDescent="0.3">
      <c r="A56" s="65"/>
      <c r="B56" s="65"/>
      <c r="C56" s="65"/>
      <c r="D56" s="65"/>
      <c r="E56" s="65"/>
      <c r="F56" s="65"/>
      <c r="G56" s="65"/>
      <c r="H56" s="65"/>
    </row>
    <row r="57" spans="1:8" x14ac:dyDescent="0.3">
      <c r="A57" s="65"/>
      <c r="B57" s="65"/>
      <c r="C57" s="65"/>
      <c r="D57" s="65"/>
      <c r="E57" s="65"/>
      <c r="F57" s="65"/>
      <c r="G57" s="65"/>
      <c r="H57" s="65"/>
    </row>
    <row r="58" spans="1:8" x14ac:dyDescent="0.3">
      <c r="A58" s="65"/>
      <c r="B58" s="65"/>
      <c r="C58" s="65"/>
      <c r="D58" s="65"/>
      <c r="E58" s="65"/>
      <c r="F58" s="65"/>
      <c r="G58" s="65"/>
      <c r="H58" s="65"/>
    </row>
    <row r="59" spans="1:8" x14ac:dyDescent="0.3">
      <c r="A59" s="65"/>
      <c r="B59" s="65"/>
      <c r="C59" s="65"/>
      <c r="D59" s="65"/>
      <c r="E59" s="65"/>
      <c r="F59" s="65"/>
      <c r="G59" s="65"/>
      <c r="H59" s="65"/>
    </row>
    <row r="60" spans="1:8" x14ac:dyDescent="0.3">
      <c r="A60" s="65"/>
      <c r="B60" s="65"/>
      <c r="C60" s="65"/>
      <c r="D60" s="65"/>
      <c r="E60" s="65"/>
      <c r="F60" s="65"/>
      <c r="G60" s="65"/>
      <c r="H60" s="65"/>
    </row>
    <row r="61" spans="1:8" x14ac:dyDescent="0.3">
      <c r="A61" s="65"/>
      <c r="B61" s="65"/>
      <c r="C61" s="65"/>
      <c r="D61" s="65"/>
      <c r="E61" s="65"/>
      <c r="F61" s="65"/>
      <c r="G61" s="65"/>
      <c r="H61" s="6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1"/>
  </sheetPr>
  <dimension ref="B2:O54"/>
  <sheetViews>
    <sheetView zoomScaleNormal="100" workbookViewId="0">
      <selection activeCell="F18" sqref="F18"/>
    </sheetView>
  </sheetViews>
  <sheetFormatPr defaultColWidth="9.109375" defaultRowHeight="20.25" customHeight="1" x14ac:dyDescent="0.3"/>
  <cols>
    <col min="1" max="1" width="9.109375" style="6"/>
    <col min="2" max="2" width="15.44140625" style="6" customWidth="1"/>
    <col min="3" max="3" width="45.44140625" style="6" customWidth="1"/>
    <col min="4" max="4" width="17.109375" style="6" customWidth="1"/>
    <col min="5" max="5" width="18.44140625" style="6" customWidth="1"/>
    <col min="6" max="6" width="9.109375" style="6"/>
    <col min="7" max="7" width="15.44140625" style="6" customWidth="1"/>
    <col min="8" max="8" width="45.44140625" style="6" customWidth="1"/>
    <col min="9" max="9" width="17.109375" style="6" customWidth="1"/>
    <col min="10" max="10" width="18.44140625" style="6" customWidth="1"/>
    <col min="11" max="11" width="9.109375" style="6"/>
    <col min="12" max="12" width="15.44140625" style="6" customWidth="1"/>
    <col min="13" max="13" width="45.44140625" style="6" customWidth="1"/>
    <col min="14" max="14" width="17.109375" style="6" customWidth="1"/>
    <col min="15" max="15" width="18.44140625" style="6" customWidth="1"/>
    <col min="16" max="16384" width="9.109375" style="6"/>
  </cols>
  <sheetData>
    <row r="2" spans="2:10" ht="20.25" customHeight="1" x14ac:dyDescent="0.3">
      <c r="B2" s="6" t="s">
        <v>46</v>
      </c>
      <c r="G2" s="6" t="s">
        <v>83</v>
      </c>
    </row>
    <row r="3" spans="2:10" ht="39.9" customHeight="1" x14ac:dyDescent="0.3">
      <c r="B3" s="20" t="s">
        <v>9</v>
      </c>
      <c r="C3" s="20" t="s">
        <v>10</v>
      </c>
      <c r="D3" s="21" t="s">
        <v>34</v>
      </c>
      <c r="E3" s="21" t="s">
        <v>84</v>
      </c>
      <c r="G3" s="34" t="s">
        <v>9</v>
      </c>
      <c r="H3" s="34" t="s">
        <v>10</v>
      </c>
      <c r="I3" s="35" t="s">
        <v>34</v>
      </c>
      <c r="J3" s="35" t="s">
        <v>84</v>
      </c>
    </row>
    <row r="4" spans="2:10" ht="20.25" customHeight="1" x14ac:dyDescent="0.3">
      <c r="C4" s="6" t="str">
        <f>IF(ISNA(INDEX(OfficialTeamList[Team Name],MATCH(ChampionsDelib[[#This Row],[Team Number]], OfficialTeamList[Team Number],0))),"",INDEX(OfficialTeamList[Team Name],MATCH(ChampionsDelib[[#This Row],[Team Number]], OfficialTeamList[Team Number],0)))</f>
        <v/>
      </c>
      <c r="D4" s="6">
        <f>IF(ISNA(INDEX(TournamentData[Champion''s Rank],MATCH(ChampionsDelib[[#This Row],[Team Number]],TournamentData[Team Number],0))),NumberOfTeams+1,INDEX(TournamentData[Champion''s Rank],MATCH(ChampionsDelib[[#This Row],[Team Number]],TournamentData[Team Number],0)))</f>
        <v>1</v>
      </c>
      <c r="H4" s="6" t="str">
        <f>IF(ISNA(INDEX(OfficialTeamList[Team Name],MATCH(RobotGameDelib[[#This Row],[Team Number]], OfficialTeamList[Team Number],0))),"",INDEX(OfficialTeamList[Team Name],MATCH(RobotGameDelib[[#This Row],[Team Number]], OfficialTeamList[Team Number],0)))</f>
        <v/>
      </c>
      <c r="I4" s="6">
        <f>IF(ISNA(INDEX(TournamentData[Champion''s Rank],MATCH(RobotGameDelib[[#This Row],[Team Number]],TournamentData[Team Number],0))),NumberOfTeams+1,INDEX(TournamentData[Champion''s Rank],MATCH(RobotGameDelib[[#This Row],[Team Number]],TournamentData[Team Number],0)))</f>
        <v>1</v>
      </c>
    </row>
    <row r="5" spans="2:10" ht="20.25" customHeight="1" x14ac:dyDescent="0.3">
      <c r="C5" s="6" t="str">
        <f>IF(ISNA(INDEX(OfficialTeamList[Team Name],MATCH(ChampionsDelib[[#This Row],[Team Number]], OfficialTeamList[Team Number],0))),"",INDEX(OfficialTeamList[Team Name],MATCH(ChampionsDelib[[#This Row],[Team Number]], OfficialTeamList[Team Number],0)))</f>
        <v/>
      </c>
      <c r="D5" s="6">
        <f>IF(ISNA(INDEX(TournamentData[Champion''s Rank],MATCH(ChampionsDelib[[#This Row],[Team Number]],TournamentData[Team Number],0))),NumberOfTeams+1,INDEX(TournamentData[Champion''s Rank],MATCH(ChampionsDelib[[#This Row],[Team Number]],TournamentData[Team Number],0)))</f>
        <v>1</v>
      </c>
      <c r="H5" s="6" t="str">
        <f>IF(ISNA(INDEX(OfficialTeamList[Team Name],MATCH(RobotGameDelib[[#This Row],[Team Number]], OfficialTeamList[Team Number],0))),"",INDEX(OfficialTeamList[Team Name],MATCH(RobotGameDelib[[#This Row],[Team Number]], OfficialTeamList[Team Number],0)))</f>
        <v/>
      </c>
      <c r="I5" s="6">
        <f>IF(ISNA(INDEX(TournamentData[Champion''s Rank],MATCH(RobotGameDelib[[#This Row],[Team Number]],TournamentData[Team Number],0))),NumberOfTeams+1,INDEX(TournamentData[Champion''s Rank],MATCH(RobotGameDelib[[#This Row],[Team Number]],TournamentData[Team Number],0)))</f>
        <v>1</v>
      </c>
    </row>
    <row r="6" spans="2:10" ht="20.25" customHeight="1" x14ac:dyDescent="0.3">
      <c r="C6" s="6" t="str">
        <f>IF(ISNA(INDEX(OfficialTeamList[Team Name],MATCH(ChampionsDelib[[#This Row],[Team Number]], OfficialTeamList[Team Number],0))),"",INDEX(OfficialTeamList[Team Name],MATCH(ChampionsDelib[[#This Row],[Team Number]], OfficialTeamList[Team Number],0)))</f>
        <v/>
      </c>
      <c r="D6" s="6">
        <f>IF(ISNA(INDEX(TournamentData[Champion''s Rank],MATCH(ChampionsDelib[[#This Row],[Team Number]],TournamentData[Team Number],0))),NumberOfTeams+1,INDEX(TournamentData[Champion''s Rank],MATCH(ChampionsDelib[[#This Row],[Team Number]],TournamentData[Team Number],0)))</f>
        <v>1</v>
      </c>
      <c r="H6" s="6" t="str">
        <f>IF(ISNA(INDEX(OfficialTeamList[Team Name],MATCH(RobotGameDelib[[#This Row],[Team Number]], OfficialTeamList[Team Number],0))),"",INDEX(OfficialTeamList[Team Name],MATCH(RobotGameDelib[[#This Row],[Team Number]], OfficialTeamList[Team Number],0)))</f>
        <v/>
      </c>
      <c r="I6" s="6">
        <f>IF(ISNA(INDEX(TournamentData[Champion''s Rank],MATCH(RobotGameDelib[[#This Row],[Team Number]],TournamentData[Team Number],0))),NumberOfTeams+1,INDEX(TournamentData[Champion''s Rank],MATCH(RobotGameDelib[[#This Row],[Team Number]],TournamentData[Team Number],0)))</f>
        <v>1</v>
      </c>
    </row>
    <row r="7" spans="2:10" ht="20.25" customHeight="1" x14ac:dyDescent="0.3">
      <c r="C7" s="6" t="str">
        <f>IF(ISNA(INDEX(OfficialTeamList[Team Name],MATCH(ChampionsDelib[[#This Row],[Team Number]], OfficialTeamList[Team Number],0))),"",INDEX(OfficialTeamList[Team Name],MATCH(ChampionsDelib[[#This Row],[Team Number]], OfficialTeamList[Team Number],0)))</f>
        <v/>
      </c>
      <c r="D7" s="6">
        <f>IF(ISNA(INDEX(TournamentData[Champion''s Rank],MATCH(ChampionsDelib[[#This Row],[Team Number]],TournamentData[Team Number],0))),NumberOfTeams+1,INDEX(TournamentData[Champion''s Rank],MATCH(ChampionsDelib[[#This Row],[Team Number]],TournamentData[Team Number],0)))</f>
        <v>1</v>
      </c>
      <c r="H7" s="6" t="str">
        <f>IF(ISNA(INDEX(OfficialTeamList[Team Name],MATCH(RobotGameDelib[[#This Row],[Team Number]], OfficialTeamList[Team Number],0))),"",INDEX(OfficialTeamList[Team Name],MATCH(RobotGameDelib[[#This Row],[Team Number]], OfficialTeamList[Team Number],0)))</f>
        <v/>
      </c>
      <c r="I7" s="6">
        <f>IF(ISNA(INDEX(TournamentData[Champion''s Rank],MATCH(RobotGameDelib[[#This Row],[Team Number]],TournamentData[Team Number],0))),NumberOfTeams+1,INDEX(TournamentData[Champion''s Rank],MATCH(RobotGameDelib[[#This Row],[Team Number]],TournamentData[Team Number],0)))</f>
        <v>1</v>
      </c>
    </row>
    <row r="8" spans="2:10" ht="20.25" customHeight="1" x14ac:dyDescent="0.3">
      <c r="C8" s="6" t="str">
        <f>IF(ISNA(INDEX(OfficialTeamList[Team Name],MATCH(ChampionsDelib[[#This Row],[Team Number]], OfficialTeamList[Team Number],0))),"",INDEX(OfficialTeamList[Team Name],MATCH(ChampionsDelib[[#This Row],[Team Number]], OfficialTeamList[Team Number],0)))</f>
        <v/>
      </c>
      <c r="D8" s="6">
        <f>IF(ISNA(INDEX(TournamentData[Champion''s Rank],MATCH(ChampionsDelib[[#This Row],[Team Number]],TournamentData[Team Number],0))),NumberOfTeams+1,INDEX(TournamentData[Champion''s Rank],MATCH(ChampionsDelib[[#This Row],[Team Number]],TournamentData[Team Number],0)))</f>
        <v>1</v>
      </c>
      <c r="H8" s="6" t="str">
        <f>IF(ISNA(INDEX(OfficialTeamList[Team Name],MATCH(RobotGameDelib[[#This Row],[Team Number]], OfficialTeamList[Team Number],0))),"",INDEX(OfficialTeamList[Team Name],MATCH(RobotGameDelib[[#This Row],[Team Number]], OfficialTeamList[Team Number],0)))</f>
        <v/>
      </c>
      <c r="I8" s="6">
        <f>IF(ISNA(INDEX(TournamentData[Champion''s Rank],MATCH(RobotGameDelib[[#This Row],[Team Number]],TournamentData[Team Number],0))),NumberOfTeams+1,INDEX(TournamentData[Champion''s Rank],MATCH(RobotGameDelib[[#This Row],[Team Number]],TournamentData[Team Number],0)))</f>
        <v>1</v>
      </c>
    </row>
    <row r="9" spans="2:10" ht="20.25" customHeight="1" x14ac:dyDescent="0.3">
      <c r="C9" s="6" t="str">
        <f>IF(ISNA(INDEX(OfficialTeamList[Team Name],MATCH(ChampionsDelib[[#This Row],[Team Number]], OfficialTeamList[Team Number],0))),"",INDEX(OfficialTeamList[Team Name],MATCH(ChampionsDelib[[#This Row],[Team Number]], OfficialTeamList[Team Number],0)))</f>
        <v/>
      </c>
      <c r="D9" s="6">
        <f>IF(ISNA(INDEX(TournamentData[Champion''s Rank],MATCH(ChampionsDelib[[#This Row],[Team Number]],TournamentData[Team Number],0))),NumberOfTeams+1,INDEX(TournamentData[Champion''s Rank],MATCH(ChampionsDelib[[#This Row],[Team Number]],TournamentData[Team Number],0)))</f>
        <v>1</v>
      </c>
      <c r="H9" s="6" t="str">
        <f>IF(ISNA(INDEX(OfficialTeamList[Team Name],MATCH(RobotGameDelib[[#This Row],[Team Number]], OfficialTeamList[Team Number],0))),"",INDEX(OfficialTeamList[Team Name],MATCH(RobotGameDelib[[#This Row],[Team Number]], OfficialTeamList[Team Number],0)))</f>
        <v/>
      </c>
      <c r="I9" s="6">
        <f>IF(ISNA(INDEX(TournamentData[Champion''s Rank],MATCH(RobotGameDelib[[#This Row],[Team Number]],TournamentData[Team Number],0))),NumberOfTeams+1,INDEX(TournamentData[Champion''s Rank],MATCH(RobotGameDelib[[#This Row],[Team Number]],TournamentData[Team Number],0)))</f>
        <v>1</v>
      </c>
    </row>
    <row r="10" spans="2:10" ht="20.25" customHeight="1" x14ac:dyDescent="0.3">
      <c r="C10" s="6" t="str">
        <f>IF(ISNA(INDEX(OfficialTeamList[Team Name],MATCH(ChampionsDelib[[#This Row],[Team Number]], OfficialTeamList[Team Number],0))),"",INDEX(OfficialTeamList[Team Name],MATCH(ChampionsDelib[[#This Row],[Team Number]], OfficialTeamList[Team Number],0)))</f>
        <v/>
      </c>
      <c r="D10" s="6">
        <f>IF(ISNA(INDEX(TournamentData[Champion''s Rank],MATCH(ChampionsDelib[[#This Row],[Team Number]],TournamentData[Team Number],0))),NumberOfTeams+1,INDEX(TournamentData[Champion''s Rank],MATCH(ChampionsDelib[[#This Row],[Team Number]],TournamentData[Team Number],0)))</f>
        <v>1</v>
      </c>
      <c r="H10" s="6" t="str">
        <f>IF(ISNA(INDEX(OfficialTeamList[Team Name],MATCH(RobotGameDelib[[#This Row],[Team Number]], OfficialTeamList[Team Number],0))),"",INDEX(OfficialTeamList[Team Name],MATCH(RobotGameDelib[[#This Row],[Team Number]], OfficialTeamList[Team Number],0)))</f>
        <v/>
      </c>
      <c r="I10" s="6">
        <f>IF(ISNA(INDEX(TournamentData[Champion''s Rank],MATCH(RobotGameDelib[[#This Row],[Team Number]],TournamentData[Team Number],0))),NumberOfTeams+1,INDEX(TournamentData[Champion''s Rank],MATCH(RobotGameDelib[[#This Row],[Team Number]],TournamentData[Team Number],0)))</f>
        <v>1</v>
      </c>
    </row>
    <row r="11" spans="2:10" ht="20.25" customHeight="1" x14ac:dyDescent="0.3">
      <c r="C11" s="6" t="str">
        <f>IF(ISNA(INDEX(OfficialTeamList[Team Name],MATCH(ChampionsDelib[[#This Row],[Team Number]], OfficialTeamList[Team Number],0))),"",INDEX(OfficialTeamList[Team Name],MATCH(ChampionsDelib[[#This Row],[Team Number]], OfficialTeamList[Team Number],0)))</f>
        <v/>
      </c>
      <c r="D11" s="6">
        <f>IF(ISNA(INDEX(TournamentData[Champion''s Rank],MATCH(ChampionsDelib[[#This Row],[Team Number]],TournamentData[Team Number],0))),NumberOfTeams+1,INDEX(TournamentData[Champion''s Rank],MATCH(ChampionsDelib[[#This Row],[Team Number]],TournamentData[Team Number],0)))</f>
        <v>1</v>
      </c>
      <c r="H11" s="6" t="str">
        <f>IF(ISNA(INDEX(OfficialTeamList[Team Name],MATCH(RobotGameDelib[[#This Row],[Team Number]], OfficialTeamList[Team Number],0))),"",INDEX(OfficialTeamList[Team Name],MATCH(RobotGameDelib[[#This Row],[Team Number]], OfficialTeamList[Team Number],0)))</f>
        <v/>
      </c>
      <c r="I11" s="6">
        <f>IF(ISNA(INDEX(TournamentData[Champion''s Rank],MATCH(RobotGameDelib[[#This Row],[Team Number]],TournamentData[Team Number],0))),NumberOfTeams+1,INDEX(TournamentData[Champion''s Rank],MATCH(RobotGameDelib[[#This Row],[Team Number]],TournamentData[Team Number],0)))</f>
        <v>1</v>
      </c>
    </row>
    <row r="12" spans="2:10" ht="20.25" customHeight="1" x14ac:dyDescent="0.3">
      <c r="C12" s="6" t="str">
        <f>IF(ISNA(INDEX(OfficialTeamList[Team Name],MATCH(ChampionsDelib[[#This Row],[Team Number]], OfficialTeamList[Team Number],0))),"",INDEX(OfficialTeamList[Team Name],MATCH(ChampionsDelib[[#This Row],[Team Number]], OfficialTeamList[Team Number],0)))</f>
        <v/>
      </c>
      <c r="D12" s="6">
        <f>IF(ISNA(INDEX(TournamentData[Champion''s Rank],MATCH(ChampionsDelib[[#This Row],[Team Number]],TournamentData[Team Number],0))),NumberOfTeams+1,INDEX(TournamentData[Champion''s Rank],MATCH(ChampionsDelib[[#This Row],[Team Number]],TournamentData[Team Number],0)))</f>
        <v>1</v>
      </c>
      <c r="H12" s="6" t="str">
        <f>IF(ISNA(INDEX(OfficialTeamList[Team Name],MATCH(RobotGameDelib[[#This Row],[Team Number]], OfficialTeamList[Team Number],0))),"",INDEX(OfficialTeamList[Team Name],MATCH(RobotGameDelib[[#This Row],[Team Number]], OfficialTeamList[Team Number],0)))</f>
        <v/>
      </c>
      <c r="I12" s="6">
        <f>IF(ISNA(INDEX(TournamentData[Champion''s Rank],MATCH(RobotGameDelib[[#This Row],[Team Number]],TournamentData[Team Number],0))),NumberOfTeams+1,INDEX(TournamentData[Champion''s Rank],MATCH(RobotGameDelib[[#This Row],[Team Number]],TournamentData[Team Number],0)))</f>
        <v>1</v>
      </c>
    </row>
    <row r="13" spans="2:10" ht="20.25" customHeight="1" x14ac:dyDescent="0.3">
      <c r="C13" s="6" t="str">
        <f>IF(ISNA(INDEX(OfficialTeamList[Team Name],MATCH(ChampionsDelib[[#This Row],[Team Number]], OfficialTeamList[Team Number],0))),"",INDEX(OfficialTeamList[Team Name],MATCH(ChampionsDelib[[#This Row],[Team Number]], OfficialTeamList[Team Number],0)))</f>
        <v/>
      </c>
      <c r="D13" s="6">
        <f>IF(ISNA(INDEX(TournamentData[Champion''s Rank],MATCH(ChampionsDelib[[#This Row],[Team Number]],TournamentData[Team Number],0))),NumberOfTeams+1,INDEX(TournamentData[Champion''s Rank],MATCH(ChampionsDelib[[#This Row],[Team Number]],TournamentData[Team Number],0)))</f>
        <v>1</v>
      </c>
      <c r="H13" s="6" t="str">
        <f>IF(ISNA(INDEX(OfficialTeamList[Team Name],MATCH(RobotGameDelib[[#This Row],[Team Number]], OfficialTeamList[Team Number],0))),"",INDEX(OfficialTeamList[Team Name],MATCH(RobotGameDelib[[#This Row],[Team Number]], OfficialTeamList[Team Number],0)))</f>
        <v/>
      </c>
      <c r="I13" s="6">
        <f>IF(ISNA(INDEX(TournamentData[Champion''s Rank],MATCH(RobotGameDelib[[#This Row],[Team Number]],TournamentData[Team Number],0))),NumberOfTeams+1,INDEX(TournamentData[Champion''s Rank],MATCH(RobotGameDelib[[#This Row],[Team Number]],TournamentData[Team Number],0)))</f>
        <v>1</v>
      </c>
    </row>
    <row r="14" spans="2:10" ht="20.25" customHeight="1" x14ac:dyDescent="0.3">
      <c r="C14" s="6" t="str">
        <f>IF(ISNA(INDEX(OfficialTeamList[Team Name],MATCH(ChampionsDelib[[#This Row],[Team Number]], OfficialTeamList[Team Number],0))),"",INDEX(OfficialTeamList[Team Name],MATCH(ChampionsDelib[[#This Row],[Team Number]], OfficialTeamList[Team Number],0)))</f>
        <v/>
      </c>
      <c r="D14" s="6">
        <f>IF(ISNA(INDEX(TournamentData[Champion''s Rank],MATCH(ChampionsDelib[[#This Row],[Team Number]],TournamentData[Team Number],0))),NumberOfTeams+1,INDEX(TournamentData[Champion''s Rank],MATCH(ChampionsDelib[[#This Row],[Team Number]],TournamentData[Team Number],0)))</f>
        <v>1</v>
      </c>
      <c r="H14" s="6" t="str">
        <f>IF(ISNA(INDEX(OfficialTeamList[Team Name],MATCH(RobotGameDelib[[#This Row],[Team Number]], OfficialTeamList[Team Number],0))),"",INDEX(OfficialTeamList[Team Name],MATCH(RobotGameDelib[[#This Row],[Team Number]], OfficialTeamList[Team Number],0)))</f>
        <v/>
      </c>
      <c r="I14" s="6">
        <f>IF(ISNA(INDEX(TournamentData[Champion''s Rank],MATCH(RobotGameDelib[[#This Row],[Team Number]],TournamentData[Team Number],0))),NumberOfTeams+1,INDEX(TournamentData[Champion''s Rank],MATCH(RobotGameDelib[[#This Row],[Team Number]],TournamentData[Team Number],0)))</f>
        <v>1</v>
      </c>
    </row>
    <row r="15" spans="2:10" ht="20.25" customHeight="1" x14ac:dyDescent="0.3">
      <c r="C15" s="6" t="str">
        <f>IF(ISNA(INDEX(OfficialTeamList[Team Name],MATCH(ChampionsDelib[[#This Row],[Team Number]], OfficialTeamList[Team Number],0))),"",INDEX(OfficialTeamList[Team Name],MATCH(ChampionsDelib[[#This Row],[Team Number]], OfficialTeamList[Team Number],0)))</f>
        <v/>
      </c>
      <c r="D15" s="6">
        <f>IF(ISNA(INDEX(TournamentData[Champion''s Rank],MATCH(ChampionsDelib[[#This Row],[Team Number]],TournamentData[Team Number],0))),NumberOfTeams+1,INDEX(TournamentData[Champion''s Rank],MATCH(ChampionsDelib[[#This Row],[Team Number]],TournamentData[Team Number],0)))</f>
        <v>1</v>
      </c>
      <c r="H15" s="6" t="str">
        <f>IF(ISNA(INDEX(OfficialTeamList[Team Name],MATCH(RobotGameDelib[[#This Row],[Team Number]], OfficialTeamList[Team Number],0))),"",INDEX(OfficialTeamList[Team Name],MATCH(RobotGameDelib[[#This Row],[Team Number]], OfficialTeamList[Team Number],0)))</f>
        <v/>
      </c>
      <c r="I15" s="6">
        <f>IF(ISNA(INDEX(TournamentData[Champion''s Rank],MATCH(RobotGameDelib[[#This Row],[Team Number]],TournamentData[Team Number],0))),NumberOfTeams+1,INDEX(TournamentData[Champion''s Rank],MATCH(RobotGameDelib[[#This Row],[Team Number]],TournamentData[Team Number],0)))</f>
        <v>1</v>
      </c>
    </row>
    <row r="16" spans="2:10" ht="20.25" customHeight="1" x14ac:dyDescent="0.3">
      <c r="C16" s="6" t="str">
        <f>IF(ISNA(INDEX(OfficialTeamList[Team Name],MATCH(ChampionsDelib[[#This Row],[Team Number]], OfficialTeamList[Team Number],0))),"",INDEX(OfficialTeamList[Team Name],MATCH(ChampionsDelib[[#This Row],[Team Number]], OfficialTeamList[Team Number],0)))</f>
        <v/>
      </c>
      <c r="D16" s="6">
        <f>IF(ISNA(INDEX(TournamentData[Champion''s Rank],MATCH(ChampionsDelib[[#This Row],[Team Number]],TournamentData[Team Number],0))),NumberOfTeams+1,INDEX(TournamentData[Champion''s Rank],MATCH(ChampionsDelib[[#This Row],[Team Number]],TournamentData[Team Number],0)))</f>
        <v>1</v>
      </c>
      <c r="H16" s="6" t="str">
        <f>IF(ISNA(INDEX(OfficialTeamList[Team Name],MATCH(RobotGameDelib[[#This Row],[Team Number]], OfficialTeamList[Team Number],0))),"",INDEX(OfficialTeamList[Team Name],MATCH(RobotGameDelib[[#This Row],[Team Number]], OfficialTeamList[Team Number],0)))</f>
        <v/>
      </c>
      <c r="I16" s="6">
        <f>IF(ISNA(INDEX(TournamentData[Champion''s Rank],MATCH(RobotGameDelib[[#This Row],[Team Number]],TournamentData[Team Number],0))),NumberOfTeams+1,INDEX(TournamentData[Champion''s Rank],MATCH(RobotGameDelib[[#This Row],[Team Number]],TournamentData[Team Number],0)))</f>
        <v>1</v>
      </c>
    </row>
    <row r="17" spans="2:15" ht="20.25" customHeight="1" x14ac:dyDescent="0.3">
      <c r="C17" s="6" t="str">
        <f>IF(ISNA(INDEX(OfficialTeamList[Team Name],MATCH(ChampionsDelib[[#This Row],[Team Number]], OfficialTeamList[Team Number],0))),"",INDEX(OfficialTeamList[Team Name],MATCH(ChampionsDelib[[#This Row],[Team Number]], OfficialTeamList[Team Number],0)))</f>
        <v/>
      </c>
      <c r="D17" s="6">
        <f>IF(ISNA(INDEX(TournamentData[Champion''s Rank],MATCH(ChampionsDelib[[#This Row],[Team Number]],TournamentData[Team Number],0))),NumberOfTeams+1,INDEX(TournamentData[Champion''s Rank],MATCH(ChampionsDelib[[#This Row],[Team Number]],TournamentData[Team Number],0)))</f>
        <v>1</v>
      </c>
      <c r="H17" s="6" t="str">
        <f>IF(ISNA(INDEX(OfficialTeamList[Team Name],MATCH(RobotGameDelib[[#This Row],[Team Number]], OfficialTeamList[Team Number],0))),"",INDEX(OfficialTeamList[Team Name],MATCH(RobotGameDelib[[#This Row],[Team Number]], OfficialTeamList[Team Number],0)))</f>
        <v/>
      </c>
      <c r="I17" s="6">
        <f>IF(ISNA(INDEX(TournamentData[Champion''s Rank],MATCH(RobotGameDelib[[#This Row],[Team Number]],TournamentData[Team Number],0))),NumberOfTeams+1,INDEX(TournamentData[Champion''s Rank],MATCH(RobotGameDelib[[#This Row],[Team Number]],TournamentData[Team Number],0)))</f>
        <v>1</v>
      </c>
    </row>
    <row r="18" spans="2:15" ht="20.25" customHeight="1" x14ac:dyDescent="0.3">
      <c r="C18" s="6" t="str">
        <f>IF(ISNA(INDEX(OfficialTeamList[Team Name],MATCH(ChampionsDelib[[#This Row],[Team Number]], OfficialTeamList[Team Number],0))),"",INDEX(OfficialTeamList[Team Name],MATCH(ChampionsDelib[[#This Row],[Team Number]], OfficialTeamList[Team Number],0)))</f>
        <v/>
      </c>
      <c r="D18" s="6">
        <f>IF(ISNA(INDEX(TournamentData[Champion''s Rank],MATCH(ChampionsDelib[[#This Row],[Team Number]],TournamentData[Team Number],0))),NumberOfTeams+1,INDEX(TournamentData[Champion''s Rank],MATCH(ChampionsDelib[[#This Row],[Team Number]],TournamentData[Team Number],0)))</f>
        <v>1</v>
      </c>
      <c r="H18" s="6" t="str">
        <f>IF(ISNA(INDEX(OfficialTeamList[Team Name],MATCH(RobotGameDelib[[#This Row],[Team Number]], OfficialTeamList[Team Number],0))),"",INDEX(OfficialTeamList[Team Name],MATCH(RobotGameDelib[[#This Row],[Team Number]], OfficialTeamList[Team Number],0)))</f>
        <v/>
      </c>
      <c r="I18" s="6">
        <f>IF(ISNA(INDEX(TournamentData[Champion''s Rank],MATCH(RobotGameDelib[[#This Row],[Team Number]],TournamentData[Team Number],0))),NumberOfTeams+1,INDEX(TournamentData[Champion''s Rank],MATCH(RobotGameDelib[[#This Row],[Team Number]],TournamentData[Team Number],0)))</f>
        <v>1</v>
      </c>
    </row>
    <row r="20" spans="2:15" ht="20.25" customHeight="1" x14ac:dyDescent="0.3">
      <c r="B20" s="6" t="s">
        <v>49</v>
      </c>
      <c r="G20" s="6" t="s">
        <v>54</v>
      </c>
      <c r="L20" s="6" t="s">
        <v>52</v>
      </c>
    </row>
    <row r="21" spans="2:15" ht="39.9" customHeight="1" x14ac:dyDescent="0.3">
      <c r="B21" s="24" t="s">
        <v>9</v>
      </c>
      <c r="C21" s="24" t="s">
        <v>10</v>
      </c>
      <c r="D21" s="25" t="s">
        <v>30</v>
      </c>
      <c r="E21" s="25" t="s">
        <v>84</v>
      </c>
      <c r="G21" s="28" t="s">
        <v>9</v>
      </c>
      <c r="H21" s="28" t="s">
        <v>10</v>
      </c>
      <c r="I21" s="29" t="s">
        <v>32</v>
      </c>
      <c r="J21" s="29" t="s">
        <v>84</v>
      </c>
      <c r="L21" s="26" t="s">
        <v>9</v>
      </c>
      <c r="M21" s="26" t="s">
        <v>10</v>
      </c>
      <c r="N21" s="27" t="s">
        <v>31</v>
      </c>
      <c r="O21" s="27" t="s">
        <v>84</v>
      </c>
    </row>
    <row r="22" spans="2:15" ht="20.25" customHeight="1" x14ac:dyDescent="0.3">
      <c r="C22" s="6" t="str">
        <f>IF(ISNA(INDEX(OfficialTeamList[Team Name],MATCH(CoreValuesDelib[[#This Row],[Team Number]], OfficialTeamList[Team Number],0))),"",INDEX(OfficialTeamList[Team Name],MATCH(CoreValuesDelib[[#This Row],[Team Number]], OfficialTeamList[Team Number],0)))</f>
        <v/>
      </c>
      <c r="D22" s="6">
        <f>IF(ISNA(INDEX(CoreValuesResults[Core Values Rank],MATCH(CoreValuesDelib[[#This Row],[Team Number]],CoreValuesResults[Team Number],0))),NumberOfTeams+1,INDEX(CoreValuesResults[Core Values Rank],MATCH(CoreValuesDelib[[#This Row],[Team Number]],CoreValuesResults[Team Number],0)))</f>
        <v>1</v>
      </c>
      <c r="H22" s="6" t="str">
        <f>IF(ISNA(INDEX(OfficialTeamList[Team Name],MATCH(RobotDesignDelib[[#This Row],[Team Number]], OfficialTeamList[Team Number],0))),"",INDEX(OfficialTeamList[Team Name],MATCH(RobotDesignDelib[[#This Row],[Team Number]], OfficialTeamList[Team Number],0)))</f>
        <v/>
      </c>
      <c r="I22" s="6">
        <f>IF(ISNA(INDEX(RobotDesignResults[Robot Design Rank],MATCH(RobotDesignDelib[[#This Row],[Team Number]],RobotDesignResults[Team Number],0))),NumberOfTeams+1,INDEX(RobotDesignResults[Robot Design Rank],MATCH(RobotDesignDelib[[#This Row],[Team Number]],RobotDesignResults[Team Number],0)))</f>
        <v>1</v>
      </c>
      <c r="M22" s="6" t="str">
        <f>IF(ISNA(INDEX(OfficialTeamList[Team Name],MATCH(InnovationProjectDelib[[#This Row],[Team Number]], OfficialTeamList[Team Number],0))),"",INDEX(OfficialTeamList[Team Name],MATCH(InnovationProjectDelib[[#This Row],[Team Number]], OfficialTeamList[Team Number],0)))</f>
        <v/>
      </c>
      <c r="N2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3" spans="2:15" ht="20.25" customHeight="1" x14ac:dyDescent="0.3">
      <c r="C23" s="6" t="str">
        <f>IF(ISNA(INDEX(OfficialTeamList[Team Name],MATCH(CoreValuesDelib[[#This Row],[Team Number]], OfficialTeamList[Team Number],0))),"",INDEX(OfficialTeamList[Team Name],MATCH(CoreValuesDelib[[#This Row],[Team Number]], OfficialTeamList[Team Number],0)))</f>
        <v/>
      </c>
      <c r="D23" s="6">
        <f>IF(ISNA(INDEX(CoreValuesResults[Core Values Rank],MATCH(CoreValuesDelib[[#This Row],[Team Number]],CoreValuesResults[Team Number],0))),NumberOfTeams+1,INDEX(CoreValuesResults[Core Values Rank],MATCH(CoreValuesDelib[[#This Row],[Team Number]],CoreValuesResults[Team Number],0)))</f>
        <v>1</v>
      </c>
      <c r="H23" s="6" t="str">
        <f>IF(ISNA(INDEX(OfficialTeamList[Team Name],MATCH(RobotDesignDelib[[#This Row],[Team Number]], OfficialTeamList[Team Number],0))),"",INDEX(OfficialTeamList[Team Name],MATCH(RobotDesignDelib[[#This Row],[Team Number]], OfficialTeamList[Team Number],0)))</f>
        <v/>
      </c>
      <c r="I23" s="6">
        <f>IF(ISNA(INDEX(RobotDesignResults[Robot Design Rank],MATCH(RobotDesignDelib[[#This Row],[Team Number]],RobotDesignResults[Team Number],0))),NumberOfTeams+1,INDEX(RobotDesignResults[Robot Design Rank],MATCH(RobotDesignDelib[[#This Row],[Team Number]],RobotDesignResults[Team Number],0)))</f>
        <v>1</v>
      </c>
      <c r="M23" s="6" t="str">
        <f>IF(ISNA(INDEX(OfficialTeamList[Team Name],MATCH(InnovationProjectDelib[[#This Row],[Team Number]], OfficialTeamList[Team Number],0))),"",INDEX(OfficialTeamList[Team Name],MATCH(InnovationProjectDelib[[#This Row],[Team Number]], OfficialTeamList[Team Number],0)))</f>
        <v/>
      </c>
      <c r="N2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4" spans="2:15" ht="20.25" customHeight="1" x14ac:dyDescent="0.3">
      <c r="C24" s="6" t="str">
        <f>IF(ISNA(INDEX(OfficialTeamList[Team Name],MATCH(CoreValuesDelib[[#This Row],[Team Number]], OfficialTeamList[Team Number],0))),"",INDEX(OfficialTeamList[Team Name],MATCH(CoreValuesDelib[[#This Row],[Team Number]], OfficialTeamList[Team Number],0)))</f>
        <v/>
      </c>
      <c r="D24" s="6">
        <f>IF(ISNA(INDEX(CoreValuesResults[Core Values Rank],MATCH(CoreValuesDelib[[#This Row],[Team Number]],CoreValuesResults[Team Number],0))),NumberOfTeams+1,INDEX(CoreValuesResults[Core Values Rank],MATCH(CoreValuesDelib[[#This Row],[Team Number]],CoreValuesResults[Team Number],0)))</f>
        <v>1</v>
      </c>
      <c r="H24" s="6" t="str">
        <f>IF(ISNA(INDEX(OfficialTeamList[Team Name],MATCH(RobotDesignDelib[[#This Row],[Team Number]], OfficialTeamList[Team Number],0))),"",INDEX(OfficialTeamList[Team Name],MATCH(RobotDesignDelib[[#This Row],[Team Number]], OfficialTeamList[Team Number],0)))</f>
        <v/>
      </c>
      <c r="I24" s="6">
        <f>IF(ISNA(INDEX(RobotDesignResults[Robot Design Rank],MATCH(RobotDesignDelib[[#This Row],[Team Number]],RobotDesignResults[Team Number],0))),NumberOfTeams+1,INDEX(RobotDesignResults[Robot Design Rank],MATCH(RobotDesignDelib[[#This Row],[Team Number]],RobotDesignResults[Team Number],0)))</f>
        <v>1</v>
      </c>
      <c r="M24" s="6" t="str">
        <f>IF(ISNA(INDEX(OfficialTeamList[Team Name],MATCH(InnovationProjectDelib[[#This Row],[Team Number]], OfficialTeamList[Team Number],0))),"",INDEX(OfficialTeamList[Team Name],MATCH(InnovationProjectDelib[[#This Row],[Team Number]], OfficialTeamList[Team Number],0)))</f>
        <v/>
      </c>
      <c r="N2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5" spans="2:15" ht="20.25" customHeight="1" x14ac:dyDescent="0.3">
      <c r="C25" s="6" t="str">
        <f>IF(ISNA(INDEX(OfficialTeamList[Team Name],MATCH(CoreValuesDelib[[#This Row],[Team Number]], OfficialTeamList[Team Number],0))),"",INDEX(OfficialTeamList[Team Name],MATCH(CoreValuesDelib[[#This Row],[Team Number]], OfficialTeamList[Team Number],0)))</f>
        <v/>
      </c>
      <c r="D25" s="6">
        <f>IF(ISNA(INDEX(CoreValuesResults[Core Values Rank],MATCH(CoreValuesDelib[[#This Row],[Team Number]],CoreValuesResults[Team Number],0))),NumberOfTeams+1,INDEX(CoreValuesResults[Core Values Rank],MATCH(CoreValuesDelib[[#This Row],[Team Number]],CoreValuesResults[Team Number],0)))</f>
        <v>1</v>
      </c>
      <c r="H25" s="6" t="str">
        <f>IF(ISNA(INDEX(OfficialTeamList[Team Name],MATCH(RobotDesignDelib[[#This Row],[Team Number]], OfficialTeamList[Team Number],0))),"",INDEX(OfficialTeamList[Team Name],MATCH(RobotDesignDelib[[#This Row],[Team Number]], OfficialTeamList[Team Number],0)))</f>
        <v/>
      </c>
      <c r="I25" s="6">
        <f>IF(ISNA(INDEX(RobotDesignResults[Robot Design Rank],MATCH(RobotDesignDelib[[#This Row],[Team Number]],RobotDesignResults[Team Number],0))),NumberOfTeams+1,INDEX(RobotDesignResults[Robot Design Rank],MATCH(RobotDesignDelib[[#This Row],[Team Number]],RobotDesignResults[Team Number],0)))</f>
        <v>1</v>
      </c>
      <c r="M25" s="6" t="str">
        <f>IF(ISNA(INDEX(OfficialTeamList[Team Name],MATCH(InnovationProjectDelib[[#This Row],[Team Number]], OfficialTeamList[Team Number],0))),"",INDEX(OfficialTeamList[Team Name],MATCH(InnovationProjectDelib[[#This Row],[Team Number]], OfficialTeamList[Team Number],0)))</f>
        <v/>
      </c>
      <c r="N2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6" spans="2:15" ht="20.25" customHeight="1" x14ac:dyDescent="0.3">
      <c r="C26" s="6" t="str">
        <f>IF(ISNA(INDEX(OfficialTeamList[Team Name],MATCH(CoreValuesDelib[[#This Row],[Team Number]], OfficialTeamList[Team Number],0))),"",INDEX(OfficialTeamList[Team Name],MATCH(CoreValuesDelib[[#This Row],[Team Number]], OfficialTeamList[Team Number],0)))</f>
        <v/>
      </c>
      <c r="D26" s="6">
        <f>IF(ISNA(INDEX(CoreValuesResults[Core Values Rank],MATCH(CoreValuesDelib[[#This Row],[Team Number]],CoreValuesResults[Team Number],0))),NumberOfTeams+1,INDEX(CoreValuesResults[Core Values Rank],MATCH(CoreValuesDelib[[#This Row],[Team Number]],CoreValuesResults[Team Number],0)))</f>
        <v>1</v>
      </c>
      <c r="H26" s="6" t="str">
        <f>IF(ISNA(INDEX(OfficialTeamList[Team Name],MATCH(RobotDesignDelib[[#This Row],[Team Number]], OfficialTeamList[Team Number],0))),"",INDEX(OfficialTeamList[Team Name],MATCH(RobotDesignDelib[[#This Row],[Team Number]], OfficialTeamList[Team Number],0)))</f>
        <v/>
      </c>
      <c r="I26" s="6">
        <f>IF(ISNA(INDEX(RobotDesignResults[Robot Design Rank],MATCH(RobotDesignDelib[[#This Row],[Team Number]],RobotDesignResults[Team Number],0))),NumberOfTeams+1,INDEX(RobotDesignResults[Robot Design Rank],MATCH(RobotDesignDelib[[#This Row],[Team Number]],RobotDesignResults[Team Number],0)))</f>
        <v>1</v>
      </c>
      <c r="M26" s="6" t="str">
        <f>IF(ISNA(INDEX(OfficialTeamList[Team Name],MATCH(InnovationProjectDelib[[#This Row],[Team Number]], OfficialTeamList[Team Number],0))),"",INDEX(OfficialTeamList[Team Name],MATCH(InnovationProjectDelib[[#This Row],[Team Number]], OfficialTeamList[Team Number],0)))</f>
        <v/>
      </c>
      <c r="N2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7" spans="2:15" ht="20.25" customHeight="1" x14ac:dyDescent="0.3">
      <c r="C27" s="6" t="str">
        <f>IF(ISNA(INDEX(OfficialTeamList[Team Name],MATCH(CoreValuesDelib[[#This Row],[Team Number]], OfficialTeamList[Team Number],0))),"",INDEX(OfficialTeamList[Team Name],MATCH(CoreValuesDelib[[#This Row],[Team Number]], OfficialTeamList[Team Number],0)))</f>
        <v/>
      </c>
      <c r="D27" s="6">
        <f>IF(ISNA(INDEX(CoreValuesResults[Core Values Rank],MATCH(CoreValuesDelib[[#This Row],[Team Number]],CoreValuesResults[Team Number],0))),NumberOfTeams+1,INDEX(CoreValuesResults[Core Values Rank],MATCH(CoreValuesDelib[[#This Row],[Team Number]],CoreValuesResults[Team Number],0)))</f>
        <v>1</v>
      </c>
      <c r="H27" s="6" t="str">
        <f>IF(ISNA(INDEX(OfficialTeamList[Team Name],MATCH(RobotDesignDelib[[#This Row],[Team Number]], OfficialTeamList[Team Number],0))),"",INDEX(OfficialTeamList[Team Name],MATCH(RobotDesignDelib[[#This Row],[Team Number]], OfficialTeamList[Team Number],0)))</f>
        <v/>
      </c>
      <c r="I27" s="6">
        <f>IF(ISNA(INDEX(RobotDesignResults[Robot Design Rank],MATCH(RobotDesignDelib[[#This Row],[Team Number]],RobotDesignResults[Team Number],0))),NumberOfTeams+1,INDEX(RobotDesignResults[Robot Design Rank],MATCH(RobotDesignDelib[[#This Row],[Team Number]],RobotDesignResults[Team Number],0)))</f>
        <v>1</v>
      </c>
      <c r="M27" s="6" t="str">
        <f>IF(ISNA(INDEX(OfficialTeamList[Team Name],MATCH(InnovationProjectDelib[[#This Row],[Team Number]], OfficialTeamList[Team Number],0))),"",INDEX(OfficialTeamList[Team Name],MATCH(InnovationProjectDelib[[#This Row],[Team Number]], OfficialTeamList[Team Number],0)))</f>
        <v/>
      </c>
      <c r="N27"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8" spans="2:15" ht="20.25" customHeight="1" x14ac:dyDescent="0.3">
      <c r="C28" s="6" t="str">
        <f>IF(ISNA(INDEX(OfficialTeamList[Team Name],MATCH(CoreValuesDelib[[#This Row],[Team Number]], OfficialTeamList[Team Number],0))),"",INDEX(OfficialTeamList[Team Name],MATCH(CoreValuesDelib[[#This Row],[Team Number]], OfficialTeamList[Team Number],0)))</f>
        <v/>
      </c>
      <c r="D28" s="6">
        <f>IF(ISNA(INDEX(CoreValuesResults[Core Values Rank],MATCH(CoreValuesDelib[[#This Row],[Team Number]],CoreValuesResults[Team Number],0))),NumberOfTeams+1,INDEX(CoreValuesResults[Core Values Rank],MATCH(CoreValuesDelib[[#This Row],[Team Number]],CoreValuesResults[Team Number],0)))</f>
        <v>1</v>
      </c>
      <c r="H28" s="6" t="str">
        <f>IF(ISNA(INDEX(OfficialTeamList[Team Name],MATCH(RobotDesignDelib[[#This Row],[Team Number]], OfficialTeamList[Team Number],0))),"",INDEX(OfficialTeamList[Team Name],MATCH(RobotDesignDelib[[#This Row],[Team Number]], OfficialTeamList[Team Number],0)))</f>
        <v/>
      </c>
      <c r="I28" s="6">
        <f>IF(ISNA(INDEX(RobotDesignResults[Robot Design Rank],MATCH(RobotDesignDelib[[#This Row],[Team Number]],RobotDesignResults[Team Number],0))),NumberOfTeams+1,INDEX(RobotDesignResults[Robot Design Rank],MATCH(RobotDesignDelib[[#This Row],[Team Number]],RobotDesignResults[Team Number],0)))</f>
        <v>1</v>
      </c>
      <c r="M28" s="6" t="str">
        <f>IF(ISNA(INDEX(OfficialTeamList[Team Name],MATCH(InnovationProjectDelib[[#This Row],[Team Number]], OfficialTeamList[Team Number],0))),"",INDEX(OfficialTeamList[Team Name],MATCH(InnovationProjectDelib[[#This Row],[Team Number]], OfficialTeamList[Team Number],0)))</f>
        <v/>
      </c>
      <c r="N28"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9" spans="2:15" ht="20.25" customHeight="1" x14ac:dyDescent="0.3">
      <c r="C29" s="6" t="str">
        <f>IF(ISNA(INDEX(OfficialTeamList[Team Name],MATCH(CoreValuesDelib[[#This Row],[Team Number]], OfficialTeamList[Team Number],0))),"",INDEX(OfficialTeamList[Team Name],MATCH(CoreValuesDelib[[#This Row],[Team Number]], OfficialTeamList[Team Number],0)))</f>
        <v/>
      </c>
      <c r="D29" s="6">
        <f>IF(ISNA(INDEX(CoreValuesResults[Core Values Rank],MATCH(CoreValuesDelib[[#This Row],[Team Number]],CoreValuesResults[Team Number],0))),NumberOfTeams+1,INDEX(CoreValuesResults[Core Values Rank],MATCH(CoreValuesDelib[[#This Row],[Team Number]],CoreValuesResults[Team Number],0)))</f>
        <v>1</v>
      </c>
      <c r="H29" s="6" t="str">
        <f>IF(ISNA(INDEX(OfficialTeamList[Team Name],MATCH(RobotDesignDelib[[#This Row],[Team Number]], OfficialTeamList[Team Number],0))),"",INDEX(OfficialTeamList[Team Name],MATCH(RobotDesignDelib[[#This Row],[Team Number]], OfficialTeamList[Team Number],0)))</f>
        <v/>
      </c>
      <c r="I29" s="6">
        <f>IF(ISNA(INDEX(RobotDesignResults[Robot Design Rank],MATCH(RobotDesignDelib[[#This Row],[Team Number]],RobotDesignResults[Team Number],0))),NumberOfTeams+1,INDEX(RobotDesignResults[Robot Design Rank],MATCH(RobotDesignDelib[[#This Row],[Team Number]],RobotDesignResults[Team Number],0)))</f>
        <v>1</v>
      </c>
      <c r="M29" s="6" t="str">
        <f>IF(ISNA(INDEX(OfficialTeamList[Team Name],MATCH(InnovationProjectDelib[[#This Row],[Team Number]], OfficialTeamList[Team Number],0))),"",INDEX(OfficialTeamList[Team Name],MATCH(InnovationProjectDelib[[#This Row],[Team Number]], OfficialTeamList[Team Number],0)))</f>
        <v/>
      </c>
      <c r="N29"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0" spans="2:15" ht="20.25" customHeight="1" x14ac:dyDescent="0.3">
      <c r="C30" s="6" t="str">
        <f>IF(ISNA(INDEX(OfficialTeamList[Team Name],MATCH(CoreValuesDelib[[#This Row],[Team Number]], OfficialTeamList[Team Number],0))),"",INDEX(OfficialTeamList[Team Name],MATCH(CoreValuesDelib[[#This Row],[Team Number]], OfficialTeamList[Team Number],0)))</f>
        <v/>
      </c>
      <c r="D30" s="6">
        <f>IF(ISNA(INDEX(CoreValuesResults[Core Values Rank],MATCH(CoreValuesDelib[[#This Row],[Team Number]],CoreValuesResults[Team Number],0))),NumberOfTeams+1,INDEX(CoreValuesResults[Core Values Rank],MATCH(CoreValuesDelib[[#This Row],[Team Number]],CoreValuesResults[Team Number],0)))</f>
        <v>1</v>
      </c>
      <c r="H30" s="6" t="str">
        <f>IF(ISNA(INDEX(OfficialTeamList[Team Name],MATCH(RobotDesignDelib[[#This Row],[Team Number]], OfficialTeamList[Team Number],0))),"",INDEX(OfficialTeamList[Team Name],MATCH(RobotDesignDelib[[#This Row],[Team Number]], OfficialTeamList[Team Number],0)))</f>
        <v/>
      </c>
      <c r="I30" s="6">
        <f>IF(ISNA(INDEX(RobotDesignResults[Robot Design Rank],MATCH(RobotDesignDelib[[#This Row],[Team Number]],RobotDesignResults[Team Number],0))),NumberOfTeams+1,INDEX(RobotDesignResults[Robot Design Rank],MATCH(RobotDesignDelib[[#This Row],[Team Number]],RobotDesignResults[Team Number],0)))</f>
        <v>1</v>
      </c>
      <c r="M30" s="6" t="str">
        <f>IF(ISNA(INDEX(OfficialTeamList[Team Name],MATCH(InnovationProjectDelib[[#This Row],[Team Number]], OfficialTeamList[Team Number],0))),"",INDEX(OfficialTeamList[Team Name],MATCH(InnovationProjectDelib[[#This Row],[Team Number]], OfficialTeamList[Team Number],0)))</f>
        <v/>
      </c>
      <c r="N30"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1" spans="2:15" ht="20.25" customHeight="1" x14ac:dyDescent="0.3">
      <c r="C31" s="6" t="str">
        <f>IF(ISNA(INDEX(OfficialTeamList[Team Name],MATCH(CoreValuesDelib[[#This Row],[Team Number]], OfficialTeamList[Team Number],0))),"",INDEX(OfficialTeamList[Team Name],MATCH(CoreValuesDelib[[#This Row],[Team Number]], OfficialTeamList[Team Number],0)))</f>
        <v/>
      </c>
      <c r="D31" s="6">
        <f>IF(ISNA(INDEX(CoreValuesResults[Core Values Rank],MATCH(CoreValuesDelib[[#This Row],[Team Number]],CoreValuesResults[Team Number],0))),NumberOfTeams+1,INDEX(CoreValuesResults[Core Values Rank],MATCH(CoreValuesDelib[[#This Row],[Team Number]],CoreValuesResults[Team Number],0)))</f>
        <v>1</v>
      </c>
      <c r="H31" s="6" t="str">
        <f>IF(ISNA(INDEX(OfficialTeamList[Team Name],MATCH(RobotDesignDelib[[#This Row],[Team Number]], OfficialTeamList[Team Number],0))),"",INDEX(OfficialTeamList[Team Name],MATCH(RobotDesignDelib[[#This Row],[Team Number]], OfficialTeamList[Team Number],0)))</f>
        <v/>
      </c>
      <c r="I31" s="6">
        <f>IF(ISNA(INDEX(RobotDesignResults[Robot Design Rank],MATCH(RobotDesignDelib[[#This Row],[Team Number]],RobotDesignResults[Team Number],0))),NumberOfTeams+1,INDEX(RobotDesignResults[Robot Design Rank],MATCH(RobotDesignDelib[[#This Row],[Team Number]],RobotDesignResults[Team Number],0)))</f>
        <v>1</v>
      </c>
      <c r="M31" s="6" t="str">
        <f>IF(ISNA(INDEX(OfficialTeamList[Team Name],MATCH(InnovationProjectDelib[[#This Row],[Team Number]], OfficialTeamList[Team Number],0))),"",INDEX(OfficialTeamList[Team Name],MATCH(InnovationProjectDelib[[#This Row],[Team Number]], OfficialTeamList[Team Number],0)))</f>
        <v/>
      </c>
      <c r="N31"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2" spans="2:15" ht="20.25" customHeight="1" x14ac:dyDescent="0.3">
      <c r="C32" s="6" t="str">
        <f>IF(ISNA(INDEX(OfficialTeamList[Team Name],MATCH(CoreValuesDelib[[#This Row],[Team Number]], OfficialTeamList[Team Number],0))),"",INDEX(OfficialTeamList[Team Name],MATCH(CoreValuesDelib[[#This Row],[Team Number]], OfficialTeamList[Team Number],0)))</f>
        <v/>
      </c>
      <c r="D32" s="6">
        <f>IF(ISNA(INDEX(CoreValuesResults[Core Values Rank],MATCH(CoreValuesDelib[[#This Row],[Team Number]],CoreValuesResults[Team Number],0))),NumberOfTeams+1,INDEX(CoreValuesResults[Core Values Rank],MATCH(CoreValuesDelib[[#This Row],[Team Number]],CoreValuesResults[Team Number],0)))</f>
        <v>1</v>
      </c>
      <c r="H32" s="6" t="str">
        <f>IF(ISNA(INDEX(OfficialTeamList[Team Name],MATCH(RobotDesignDelib[[#This Row],[Team Number]], OfficialTeamList[Team Number],0))),"",INDEX(OfficialTeamList[Team Name],MATCH(RobotDesignDelib[[#This Row],[Team Number]], OfficialTeamList[Team Number],0)))</f>
        <v/>
      </c>
      <c r="I32" s="6">
        <f>IF(ISNA(INDEX(RobotDesignResults[Robot Design Rank],MATCH(RobotDesignDelib[[#This Row],[Team Number]],RobotDesignResults[Team Number],0))),NumberOfTeams+1,INDEX(RobotDesignResults[Robot Design Rank],MATCH(RobotDesignDelib[[#This Row],[Team Number]],RobotDesignResults[Team Number],0)))</f>
        <v>1</v>
      </c>
      <c r="M32" s="6" t="str">
        <f>IF(ISNA(INDEX(OfficialTeamList[Team Name],MATCH(InnovationProjectDelib[[#This Row],[Team Number]], OfficialTeamList[Team Number],0))),"",INDEX(OfficialTeamList[Team Name],MATCH(InnovationProjectDelib[[#This Row],[Team Number]], OfficialTeamList[Team Number],0)))</f>
        <v/>
      </c>
      <c r="N3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3" spans="2:15" ht="20.25" customHeight="1" x14ac:dyDescent="0.3">
      <c r="C33" s="6" t="str">
        <f>IF(ISNA(INDEX(OfficialTeamList[Team Name],MATCH(CoreValuesDelib[[#This Row],[Team Number]], OfficialTeamList[Team Number],0))),"",INDEX(OfficialTeamList[Team Name],MATCH(CoreValuesDelib[[#This Row],[Team Number]], OfficialTeamList[Team Number],0)))</f>
        <v/>
      </c>
      <c r="D33" s="6">
        <f>IF(ISNA(INDEX(CoreValuesResults[Core Values Rank],MATCH(CoreValuesDelib[[#This Row],[Team Number]],CoreValuesResults[Team Number],0))),NumberOfTeams+1,INDEX(CoreValuesResults[Core Values Rank],MATCH(CoreValuesDelib[[#This Row],[Team Number]],CoreValuesResults[Team Number],0)))</f>
        <v>1</v>
      </c>
      <c r="H33" s="6" t="str">
        <f>IF(ISNA(INDEX(OfficialTeamList[Team Name],MATCH(RobotDesignDelib[[#This Row],[Team Number]], OfficialTeamList[Team Number],0))),"",INDEX(OfficialTeamList[Team Name],MATCH(RobotDesignDelib[[#This Row],[Team Number]], OfficialTeamList[Team Number],0)))</f>
        <v/>
      </c>
      <c r="I33" s="6">
        <f>IF(ISNA(INDEX(RobotDesignResults[Robot Design Rank],MATCH(RobotDesignDelib[[#This Row],[Team Number]],RobotDesignResults[Team Number],0))),NumberOfTeams+1,INDEX(RobotDesignResults[Robot Design Rank],MATCH(RobotDesignDelib[[#This Row],[Team Number]],RobotDesignResults[Team Number],0)))</f>
        <v>1</v>
      </c>
      <c r="M33" s="6" t="str">
        <f>IF(ISNA(INDEX(OfficialTeamList[Team Name],MATCH(InnovationProjectDelib[[#This Row],[Team Number]], OfficialTeamList[Team Number],0))),"",INDEX(OfficialTeamList[Team Name],MATCH(InnovationProjectDelib[[#This Row],[Team Number]], OfficialTeamList[Team Number],0)))</f>
        <v/>
      </c>
      <c r="N3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4" spans="2:15" ht="20.25" customHeight="1" x14ac:dyDescent="0.3">
      <c r="C34" s="6" t="str">
        <f>IF(ISNA(INDEX(OfficialTeamList[Team Name],MATCH(CoreValuesDelib[[#This Row],[Team Number]], OfficialTeamList[Team Number],0))),"",INDEX(OfficialTeamList[Team Name],MATCH(CoreValuesDelib[[#This Row],[Team Number]], OfficialTeamList[Team Number],0)))</f>
        <v/>
      </c>
      <c r="D34" s="6">
        <f>IF(ISNA(INDEX(CoreValuesResults[Core Values Rank],MATCH(CoreValuesDelib[[#This Row],[Team Number]],CoreValuesResults[Team Number],0))),NumberOfTeams+1,INDEX(CoreValuesResults[Core Values Rank],MATCH(CoreValuesDelib[[#This Row],[Team Number]],CoreValuesResults[Team Number],0)))</f>
        <v>1</v>
      </c>
      <c r="H34" s="6" t="str">
        <f>IF(ISNA(INDEX(OfficialTeamList[Team Name],MATCH(RobotDesignDelib[[#This Row],[Team Number]], OfficialTeamList[Team Number],0))),"",INDEX(OfficialTeamList[Team Name],MATCH(RobotDesignDelib[[#This Row],[Team Number]], OfficialTeamList[Team Number],0)))</f>
        <v/>
      </c>
      <c r="I34" s="6">
        <f>IF(ISNA(INDEX(RobotDesignResults[Robot Design Rank],MATCH(RobotDesignDelib[[#This Row],[Team Number]],RobotDesignResults[Team Number],0))),NumberOfTeams+1,INDEX(RobotDesignResults[Robot Design Rank],MATCH(RobotDesignDelib[[#This Row],[Team Number]],RobotDesignResults[Team Number],0)))</f>
        <v>1</v>
      </c>
      <c r="M34" s="6" t="str">
        <f>IF(ISNA(INDEX(OfficialTeamList[Team Name],MATCH(InnovationProjectDelib[[#This Row],[Team Number]], OfficialTeamList[Team Number],0))),"",INDEX(OfficialTeamList[Team Name],MATCH(InnovationProjectDelib[[#This Row],[Team Number]], OfficialTeamList[Team Number],0)))</f>
        <v/>
      </c>
      <c r="N3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5" spans="2:15" ht="20.25" customHeight="1" x14ac:dyDescent="0.3">
      <c r="C35" s="6" t="str">
        <f>IF(ISNA(INDEX(OfficialTeamList[Team Name],MATCH(CoreValuesDelib[[#This Row],[Team Number]], OfficialTeamList[Team Number],0))),"",INDEX(OfficialTeamList[Team Name],MATCH(CoreValuesDelib[[#This Row],[Team Number]], OfficialTeamList[Team Number],0)))</f>
        <v/>
      </c>
      <c r="D35" s="6">
        <f>IF(ISNA(INDEX(CoreValuesResults[Core Values Rank],MATCH(CoreValuesDelib[[#This Row],[Team Number]],CoreValuesResults[Team Number],0))),NumberOfTeams+1,INDEX(CoreValuesResults[Core Values Rank],MATCH(CoreValuesDelib[[#This Row],[Team Number]],CoreValuesResults[Team Number],0)))</f>
        <v>1</v>
      </c>
      <c r="H35" s="6" t="str">
        <f>IF(ISNA(INDEX(OfficialTeamList[Team Name],MATCH(RobotDesignDelib[[#This Row],[Team Number]], OfficialTeamList[Team Number],0))),"",INDEX(OfficialTeamList[Team Name],MATCH(RobotDesignDelib[[#This Row],[Team Number]], OfficialTeamList[Team Number],0)))</f>
        <v/>
      </c>
      <c r="I35" s="6">
        <f>IF(ISNA(INDEX(RobotDesignResults[Robot Design Rank],MATCH(RobotDesignDelib[[#This Row],[Team Number]],RobotDesignResults[Team Number],0))),NumberOfTeams+1,INDEX(RobotDesignResults[Robot Design Rank],MATCH(RobotDesignDelib[[#This Row],[Team Number]],RobotDesignResults[Team Number],0)))</f>
        <v>1</v>
      </c>
      <c r="M35" s="6" t="str">
        <f>IF(ISNA(INDEX(OfficialTeamList[Team Name],MATCH(InnovationProjectDelib[[#This Row],[Team Number]], OfficialTeamList[Team Number],0))),"",INDEX(OfficialTeamList[Team Name],MATCH(InnovationProjectDelib[[#This Row],[Team Number]], OfficialTeamList[Team Number],0)))</f>
        <v/>
      </c>
      <c r="N3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6" spans="2:15" ht="20.25" customHeight="1" x14ac:dyDescent="0.3">
      <c r="C36" s="6" t="str">
        <f>IF(ISNA(INDEX(OfficialTeamList[Team Name],MATCH(CoreValuesDelib[[#This Row],[Team Number]], OfficialTeamList[Team Number],0))),"",INDEX(OfficialTeamList[Team Name],MATCH(CoreValuesDelib[[#This Row],[Team Number]], OfficialTeamList[Team Number],0)))</f>
        <v/>
      </c>
      <c r="D36" s="6">
        <f>IF(ISNA(INDEX(CoreValuesResults[Core Values Rank],MATCH(CoreValuesDelib[[#This Row],[Team Number]],CoreValuesResults[Team Number],0))),NumberOfTeams+1,INDEX(CoreValuesResults[Core Values Rank],MATCH(CoreValuesDelib[[#This Row],[Team Number]],CoreValuesResults[Team Number],0)))</f>
        <v>1</v>
      </c>
      <c r="H36" s="6" t="str">
        <f>IF(ISNA(INDEX(OfficialTeamList[Team Name],MATCH(RobotDesignDelib[[#This Row],[Team Number]], OfficialTeamList[Team Number],0))),"",INDEX(OfficialTeamList[Team Name],MATCH(RobotDesignDelib[[#This Row],[Team Number]], OfficialTeamList[Team Number],0)))</f>
        <v/>
      </c>
      <c r="I36" s="6">
        <f>IF(ISNA(INDEX(RobotDesignResults[Robot Design Rank],MATCH(RobotDesignDelib[[#This Row],[Team Number]],RobotDesignResults[Team Number],0))),NumberOfTeams+1,INDEX(RobotDesignResults[Robot Design Rank],MATCH(RobotDesignDelib[[#This Row],[Team Number]],RobotDesignResults[Team Number],0)))</f>
        <v>1</v>
      </c>
      <c r="M36" s="6" t="str">
        <f>IF(ISNA(INDEX(OfficialTeamList[Team Name],MATCH(InnovationProjectDelib[[#This Row],[Team Number]], OfficialTeamList[Team Number],0))),"",INDEX(OfficialTeamList[Team Name],MATCH(InnovationProjectDelib[[#This Row],[Team Number]], OfficialTeamList[Team Number],0)))</f>
        <v/>
      </c>
      <c r="N3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8" spans="2:15" ht="20.25" customHeight="1" x14ac:dyDescent="0.3">
      <c r="B38" s="6" t="s">
        <v>35</v>
      </c>
      <c r="G38" s="6" t="s">
        <v>36</v>
      </c>
      <c r="L38" s="6" t="s">
        <v>37</v>
      </c>
    </row>
    <row r="39" spans="2:15" ht="39.9" customHeight="1" x14ac:dyDescent="0.3">
      <c r="B39" s="22" t="s">
        <v>9</v>
      </c>
      <c r="C39" s="22" t="s">
        <v>10</v>
      </c>
      <c r="D39" s="23" t="s">
        <v>34</v>
      </c>
      <c r="E39" s="23" t="s">
        <v>84</v>
      </c>
      <c r="G39" s="22" t="s">
        <v>9</v>
      </c>
      <c r="H39" s="22" t="s">
        <v>10</v>
      </c>
      <c r="I39" s="23" t="s">
        <v>34</v>
      </c>
      <c r="J39" s="23" t="s">
        <v>84</v>
      </c>
      <c r="L39" s="22" t="s">
        <v>9</v>
      </c>
      <c r="M39" s="22" t="s">
        <v>10</v>
      </c>
      <c r="N39" s="23" t="s">
        <v>34</v>
      </c>
      <c r="O39" s="23" t="s">
        <v>84</v>
      </c>
    </row>
    <row r="40" spans="2:15" ht="20.25" customHeight="1" x14ac:dyDescent="0.3">
      <c r="C40" s="6" t="str">
        <f>IF(ISNA(INDEX(OfficialTeamList[Team Name],MATCH(BreakthroughDelib[[#This Row],[Team Number]], OfficialTeamList[Team Number],0))),"",INDEX(OfficialTeamList[Team Name],MATCH(BreakthroughDelib[[#This Row],[Team Number]], OfficialTeamList[Team Number],0)))</f>
        <v/>
      </c>
      <c r="D40" s="6">
        <f>IF(ISNA(INDEX(TournamentData[Champion''s Rank],MATCH(BreakthroughDelib[[#This Row],[Team Number]],TournamentData[Team Number],0))),NumberOfTeams+1,INDEX(TournamentData[Champion''s Rank],MATCH(BreakthroughDelib[[#This Row],[Team Number]],TournamentData[Team Number],0)))</f>
        <v>1</v>
      </c>
      <c r="H40" s="6" t="str">
        <f>IF(ISNA(INDEX(OfficialTeamList[Team Name],MATCH(RookiAllStarDelib[[#This Row],[Team Number]], OfficialTeamList[Team Number],0))),"",INDEX(OfficialTeamList[Team Name],MATCH(RookiAllStarDelib[[#This Row],[Team Number]], OfficialTeamList[Team Number],0)))</f>
        <v/>
      </c>
      <c r="I40" s="6">
        <f>IF(ISNA(INDEX(TournamentData[Champion''s Rank],MATCH(RookiAllStarDelib[[#This Row],[Team Number]],TournamentData[Team Number],0))),NumberOfTeams+1,INDEX(TournamentData[Champion''s Rank],MATCH(RookiAllStarDelib[[#This Row],[Team Number]],TournamentData[Team Number],0)))</f>
        <v>1</v>
      </c>
      <c r="M40" s="6" t="str">
        <f>IF(ISNA(INDEX(OfficialTeamList[Team Name],MATCH(MotivateDelib[[#This Row],[Team Number]], OfficialTeamList[Team Number],0))),"",INDEX(OfficialTeamList[Team Name],MATCH(MotivateDelib[[#This Row],[Team Number]], OfficialTeamList[Team Number],0)))</f>
        <v/>
      </c>
      <c r="N40" s="6">
        <f>IF(ISNA(INDEX(TournamentData[Champion''s Rank],MATCH(MotivateDelib[[#This Row],[Team Number]],TournamentData[Team Number],0))),NumberOfTeams+1,INDEX(TournamentData[Champion''s Rank],MATCH(MotivateDelib[[#This Row],[Team Number]],TournamentData[Team Number],0)))</f>
        <v>1</v>
      </c>
    </row>
    <row r="41" spans="2:15" ht="20.25" customHeight="1" x14ac:dyDescent="0.3">
      <c r="C41" s="6" t="str">
        <f>IF(ISNA(INDEX(OfficialTeamList[Team Name],MATCH(BreakthroughDelib[[#This Row],[Team Number]], OfficialTeamList[Team Number],0))),"",INDEX(OfficialTeamList[Team Name],MATCH(BreakthroughDelib[[#This Row],[Team Number]], OfficialTeamList[Team Number],0)))</f>
        <v/>
      </c>
      <c r="D41" s="6">
        <f>IF(ISNA(INDEX(TournamentData[Champion''s Rank],MATCH(BreakthroughDelib[[#This Row],[Team Number]],TournamentData[Team Number],0))),NumberOfTeams+1,INDEX(TournamentData[Champion''s Rank],MATCH(BreakthroughDelib[[#This Row],[Team Number]],TournamentData[Team Number],0)))</f>
        <v>1</v>
      </c>
      <c r="H41" s="6" t="str">
        <f>IF(ISNA(INDEX(OfficialTeamList[Team Name],MATCH(RookiAllStarDelib[[#This Row],[Team Number]], OfficialTeamList[Team Number],0))),"",INDEX(OfficialTeamList[Team Name],MATCH(RookiAllStarDelib[[#This Row],[Team Number]], OfficialTeamList[Team Number],0)))</f>
        <v/>
      </c>
      <c r="I41" s="6">
        <f>IF(ISNA(INDEX(TournamentData[Champion''s Rank],MATCH(RookiAllStarDelib[[#This Row],[Team Number]],TournamentData[Team Number],0))),NumberOfTeams+1,INDEX(TournamentData[Champion''s Rank],MATCH(RookiAllStarDelib[[#This Row],[Team Number]],TournamentData[Team Number],0)))</f>
        <v>1</v>
      </c>
      <c r="M41" s="6" t="str">
        <f>IF(ISNA(INDEX(OfficialTeamList[Team Name],MATCH(MotivateDelib[[#This Row],[Team Number]], OfficialTeamList[Team Number],0))),"",INDEX(OfficialTeamList[Team Name],MATCH(MotivateDelib[[#This Row],[Team Number]], OfficialTeamList[Team Number],0)))</f>
        <v/>
      </c>
      <c r="N41" s="6">
        <f>IF(ISNA(INDEX(TournamentData[Champion''s Rank],MATCH(MotivateDelib[[#This Row],[Team Number]],TournamentData[Team Number],0))),NumberOfTeams+1,INDEX(TournamentData[Champion''s Rank],MATCH(MotivateDelib[[#This Row],[Team Number]],TournamentData[Team Number],0)))</f>
        <v>1</v>
      </c>
    </row>
    <row r="42" spans="2:15" ht="20.25" customHeight="1" x14ac:dyDescent="0.3">
      <c r="C42" s="6" t="str">
        <f>IF(ISNA(INDEX(OfficialTeamList[Team Name],MATCH(BreakthroughDelib[[#This Row],[Team Number]], OfficialTeamList[Team Number],0))),"",INDEX(OfficialTeamList[Team Name],MATCH(BreakthroughDelib[[#This Row],[Team Number]], OfficialTeamList[Team Number],0)))</f>
        <v/>
      </c>
      <c r="D42" s="6">
        <f>IF(ISNA(INDEX(TournamentData[Champion''s Rank],MATCH(BreakthroughDelib[[#This Row],[Team Number]],TournamentData[Team Number],0))),NumberOfTeams+1,INDEX(TournamentData[Champion''s Rank],MATCH(BreakthroughDelib[[#This Row],[Team Number]],TournamentData[Team Number],0)))</f>
        <v>1</v>
      </c>
      <c r="H42" s="6" t="str">
        <f>IF(ISNA(INDEX(OfficialTeamList[Team Name],MATCH(RookiAllStarDelib[[#This Row],[Team Number]], OfficialTeamList[Team Number],0))),"",INDEX(OfficialTeamList[Team Name],MATCH(RookiAllStarDelib[[#This Row],[Team Number]], OfficialTeamList[Team Number],0)))</f>
        <v/>
      </c>
      <c r="I42" s="6">
        <f>IF(ISNA(INDEX(TournamentData[Champion''s Rank],MATCH(RookiAllStarDelib[[#This Row],[Team Number]],TournamentData[Team Number],0))),NumberOfTeams+1,INDEX(TournamentData[Champion''s Rank],MATCH(RookiAllStarDelib[[#This Row],[Team Number]],TournamentData[Team Number],0)))</f>
        <v>1</v>
      </c>
      <c r="M42" s="6" t="str">
        <f>IF(ISNA(INDEX(OfficialTeamList[Team Name],MATCH(MotivateDelib[[#This Row],[Team Number]], OfficialTeamList[Team Number],0))),"",INDEX(OfficialTeamList[Team Name],MATCH(MotivateDelib[[#This Row],[Team Number]], OfficialTeamList[Team Number],0)))</f>
        <v/>
      </c>
      <c r="N42" s="6">
        <f>IF(ISNA(INDEX(TournamentData[Champion''s Rank],MATCH(MotivateDelib[[#This Row],[Team Number]],TournamentData[Team Number],0))),NumberOfTeams+1,INDEX(TournamentData[Champion''s Rank],MATCH(MotivateDelib[[#This Row],[Team Number]],TournamentData[Team Number],0)))</f>
        <v>1</v>
      </c>
    </row>
    <row r="43" spans="2:15" ht="20.25" customHeight="1" x14ac:dyDescent="0.3">
      <c r="C43" s="6" t="str">
        <f>IF(ISNA(INDEX(OfficialTeamList[Team Name],MATCH(BreakthroughDelib[[#This Row],[Team Number]], OfficialTeamList[Team Number],0))),"",INDEX(OfficialTeamList[Team Name],MATCH(BreakthroughDelib[[#This Row],[Team Number]], OfficialTeamList[Team Number],0)))</f>
        <v/>
      </c>
      <c r="D43" s="6">
        <f>IF(ISNA(INDEX(TournamentData[Champion''s Rank],MATCH(BreakthroughDelib[[#This Row],[Team Number]],TournamentData[Team Number],0))),NumberOfTeams+1,INDEX(TournamentData[Champion''s Rank],MATCH(BreakthroughDelib[[#This Row],[Team Number]],TournamentData[Team Number],0)))</f>
        <v>1</v>
      </c>
      <c r="H43" s="6" t="str">
        <f>IF(ISNA(INDEX(OfficialTeamList[Team Name],MATCH(RookiAllStarDelib[[#This Row],[Team Number]], OfficialTeamList[Team Number],0))),"",INDEX(OfficialTeamList[Team Name],MATCH(RookiAllStarDelib[[#This Row],[Team Number]], OfficialTeamList[Team Number],0)))</f>
        <v/>
      </c>
      <c r="I43" s="6">
        <f>IF(ISNA(INDEX(TournamentData[Champion''s Rank],MATCH(RookiAllStarDelib[[#This Row],[Team Number]],TournamentData[Team Number],0))),NumberOfTeams+1,INDEX(TournamentData[Champion''s Rank],MATCH(RookiAllStarDelib[[#This Row],[Team Number]],TournamentData[Team Number],0)))</f>
        <v>1</v>
      </c>
      <c r="M43" s="6" t="str">
        <f>IF(ISNA(INDEX(OfficialTeamList[Team Name],MATCH(MotivateDelib[[#This Row],[Team Number]], OfficialTeamList[Team Number],0))),"",INDEX(OfficialTeamList[Team Name],MATCH(MotivateDelib[[#This Row],[Team Number]], OfficialTeamList[Team Number],0)))</f>
        <v/>
      </c>
      <c r="N43" s="6">
        <f>IF(ISNA(INDEX(TournamentData[Champion''s Rank],MATCH(MotivateDelib[[#This Row],[Team Number]],TournamentData[Team Number],0))),NumberOfTeams+1,INDEX(TournamentData[Champion''s Rank],MATCH(MotivateDelib[[#This Row],[Team Number]],TournamentData[Team Number],0)))</f>
        <v>1</v>
      </c>
    </row>
    <row r="44" spans="2:15" ht="20.25" customHeight="1" x14ac:dyDescent="0.3">
      <c r="C44" s="6" t="str">
        <f>IF(ISNA(INDEX(OfficialTeamList[Team Name],MATCH(BreakthroughDelib[[#This Row],[Team Number]], OfficialTeamList[Team Number],0))),"",INDEX(OfficialTeamList[Team Name],MATCH(BreakthroughDelib[[#This Row],[Team Number]], OfficialTeamList[Team Number],0)))</f>
        <v/>
      </c>
      <c r="D44" s="6">
        <f>IF(ISNA(INDEX(TournamentData[Champion''s Rank],MATCH(BreakthroughDelib[[#This Row],[Team Number]],TournamentData[Team Number],0))),NumberOfTeams+1,INDEX(TournamentData[Champion''s Rank],MATCH(BreakthroughDelib[[#This Row],[Team Number]],TournamentData[Team Number],0)))</f>
        <v>1</v>
      </c>
      <c r="H44" s="6" t="str">
        <f>IF(ISNA(INDEX(OfficialTeamList[Team Name],MATCH(RookiAllStarDelib[[#This Row],[Team Number]], OfficialTeamList[Team Number],0))),"",INDEX(OfficialTeamList[Team Name],MATCH(RookiAllStarDelib[[#This Row],[Team Number]], OfficialTeamList[Team Number],0)))</f>
        <v/>
      </c>
      <c r="I44" s="6">
        <f>IF(ISNA(INDEX(TournamentData[Champion''s Rank],MATCH(RookiAllStarDelib[[#This Row],[Team Number]],TournamentData[Team Number],0))),NumberOfTeams+1,INDEX(TournamentData[Champion''s Rank],MATCH(RookiAllStarDelib[[#This Row],[Team Number]],TournamentData[Team Number],0)))</f>
        <v>1</v>
      </c>
      <c r="M44" s="6" t="str">
        <f>IF(ISNA(INDEX(OfficialTeamList[Team Name],MATCH(MotivateDelib[[#This Row],[Team Number]], OfficialTeamList[Team Number],0))),"",INDEX(OfficialTeamList[Team Name],MATCH(MotivateDelib[[#This Row],[Team Number]], OfficialTeamList[Team Number],0)))</f>
        <v/>
      </c>
      <c r="N44" s="6">
        <f>IF(ISNA(INDEX(TournamentData[Champion''s Rank],MATCH(MotivateDelib[[#This Row],[Team Number]],TournamentData[Team Number],0))),NumberOfTeams+1,INDEX(TournamentData[Champion''s Rank],MATCH(MotivateDelib[[#This Row],[Team Number]],TournamentData[Team Number],0)))</f>
        <v>1</v>
      </c>
    </row>
    <row r="45" spans="2:15" ht="20.25" customHeight="1" x14ac:dyDescent="0.3">
      <c r="C45" s="6" t="str">
        <f>IF(ISNA(INDEX(OfficialTeamList[Team Name],MATCH(BreakthroughDelib[[#This Row],[Team Number]], OfficialTeamList[Team Number],0))),"",INDEX(OfficialTeamList[Team Name],MATCH(BreakthroughDelib[[#This Row],[Team Number]], OfficialTeamList[Team Number],0)))</f>
        <v/>
      </c>
      <c r="D45" s="6">
        <f>IF(ISNA(INDEX(TournamentData[Champion''s Rank],MATCH(BreakthroughDelib[[#This Row],[Team Number]],TournamentData[Team Number],0))),NumberOfTeams+1,INDEX(TournamentData[Champion''s Rank],MATCH(BreakthroughDelib[[#This Row],[Team Number]],TournamentData[Team Number],0)))</f>
        <v>1</v>
      </c>
      <c r="H45" s="6" t="str">
        <f>IF(ISNA(INDEX(OfficialTeamList[Team Name],MATCH(RookiAllStarDelib[[#This Row],[Team Number]], OfficialTeamList[Team Number],0))),"",INDEX(OfficialTeamList[Team Name],MATCH(RookiAllStarDelib[[#This Row],[Team Number]], OfficialTeamList[Team Number],0)))</f>
        <v/>
      </c>
      <c r="I45" s="6">
        <f>IF(ISNA(INDEX(TournamentData[Champion''s Rank],MATCH(RookiAllStarDelib[[#This Row],[Team Number]],TournamentData[Team Number],0))),NumberOfTeams+1,INDEX(TournamentData[Champion''s Rank],MATCH(RookiAllStarDelib[[#This Row],[Team Number]],TournamentData[Team Number],0)))</f>
        <v>1</v>
      </c>
      <c r="M45" s="6" t="str">
        <f>IF(ISNA(INDEX(OfficialTeamList[Team Name],MATCH(MotivateDelib[[#This Row],[Team Number]], OfficialTeamList[Team Number],0))),"",INDEX(OfficialTeamList[Team Name],MATCH(MotivateDelib[[#This Row],[Team Number]], OfficialTeamList[Team Number],0)))</f>
        <v/>
      </c>
      <c r="N45" s="6">
        <f>IF(ISNA(INDEX(TournamentData[Champion''s Rank],MATCH(MotivateDelib[[#This Row],[Team Number]],TournamentData[Team Number],0))),NumberOfTeams+1,INDEX(TournamentData[Champion''s Rank],MATCH(MotivateDelib[[#This Row],[Team Number]],TournamentData[Team Number],0)))</f>
        <v>1</v>
      </c>
    </row>
    <row r="46" spans="2:15" ht="20.25" customHeight="1" x14ac:dyDescent="0.3">
      <c r="C46" s="6" t="str">
        <f>IF(ISNA(INDEX(OfficialTeamList[Team Name],MATCH(BreakthroughDelib[[#This Row],[Team Number]], OfficialTeamList[Team Number],0))),"",INDEX(OfficialTeamList[Team Name],MATCH(BreakthroughDelib[[#This Row],[Team Number]], OfficialTeamList[Team Number],0)))</f>
        <v/>
      </c>
      <c r="D46" s="6">
        <f>IF(ISNA(INDEX(TournamentData[Champion''s Rank],MATCH(BreakthroughDelib[[#This Row],[Team Number]],TournamentData[Team Number],0))),NumberOfTeams+1,INDEX(TournamentData[Champion''s Rank],MATCH(BreakthroughDelib[[#This Row],[Team Number]],TournamentData[Team Number],0)))</f>
        <v>1</v>
      </c>
      <c r="H46" s="6" t="str">
        <f>IF(ISNA(INDEX(OfficialTeamList[Team Name],MATCH(RookiAllStarDelib[[#This Row],[Team Number]], OfficialTeamList[Team Number],0))),"",INDEX(OfficialTeamList[Team Name],MATCH(RookiAllStarDelib[[#This Row],[Team Number]], OfficialTeamList[Team Number],0)))</f>
        <v/>
      </c>
      <c r="I46" s="6">
        <f>IF(ISNA(INDEX(TournamentData[Champion''s Rank],MATCH(RookiAllStarDelib[[#This Row],[Team Number]],TournamentData[Team Number],0))),NumberOfTeams+1,INDEX(TournamentData[Champion''s Rank],MATCH(RookiAllStarDelib[[#This Row],[Team Number]],TournamentData[Team Number],0)))</f>
        <v>1</v>
      </c>
      <c r="M46" s="6" t="str">
        <f>IF(ISNA(INDEX(OfficialTeamList[Team Name],MATCH(MotivateDelib[[#This Row],[Team Number]], OfficialTeamList[Team Number],0))),"",INDEX(OfficialTeamList[Team Name],MATCH(MotivateDelib[[#This Row],[Team Number]], OfficialTeamList[Team Number],0)))</f>
        <v/>
      </c>
      <c r="N46" s="6">
        <f>IF(ISNA(INDEX(TournamentData[Champion''s Rank],MATCH(MotivateDelib[[#This Row],[Team Number]],TournamentData[Team Number],0))),NumberOfTeams+1,INDEX(TournamentData[Champion''s Rank],MATCH(MotivateDelib[[#This Row],[Team Number]],TournamentData[Team Number],0)))</f>
        <v>1</v>
      </c>
    </row>
    <row r="47" spans="2:15" ht="20.25" customHeight="1" x14ac:dyDescent="0.3">
      <c r="C47" s="6" t="str">
        <f>IF(ISNA(INDEX(OfficialTeamList[Team Name],MATCH(BreakthroughDelib[[#This Row],[Team Number]], OfficialTeamList[Team Number],0))),"",INDEX(OfficialTeamList[Team Name],MATCH(BreakthroughDelib[[#This Row],[Team Number]], OfficialTeamList[Team Number],0)))</f>
        <v/>
      </c>
      <c r="D47" s="6">
        <f>IF(ISNA(INDEX(TournamentData[Champion''s Rank],MATCH(BreakthroughDelib[[#This Row],[Team Number]],TournamentData[Team Number],0))),NumberOfTeams+1,INDEX(TournamentData[Champion''s Rank],MATCH(BreakthroughDelib[[#This Row],[Team Number]],TournamentData[Team Number],0)))</f>
        <v>1</v>
      </c>
      <c r="H47" s="6" t="str">
        <f>IF(ISNA(INDEX(OfficialTeamList[Team Name],MATCH(RookiAllStarDelib[[#This Row],[Team Number]], OfficialTeamList[Team Number],0))),"",INDEX(OfficialTeamList[Team Name],MATCH(RookiAllStarDelib[[#This Row],[Team Number]], OfficialTeamList[Team Number],0)))</f>
        <v/>
      </c>
      <c r="I47" s="6">
        <f>IF(ISNA(INDEX(TournamentData[Champion''s Rank],MATCH(RookiAllStarDelib[[#This Row],[Team Number]],TournamentData[Team Number],0))),NumberOfTeams+1,INDEX(TournamentData[Champion''s Rank],MATCH(RookiAllStarDelib[[#This Row],[Team Number]],TournamentData[Team Number],0)))</f>
        <v>1</v>
      </c>
      <c r="M47" s="6" t="str">
        <f>IF(ISNA(INDEX(OfficialTeamList[Team Name],MATCH(MotivateDelib[[#This Row],[Team Number]], OfficialTeamList[Team Number],0))),"",INDEX(OfficialTeamList[Team Name],MATCH(MotivateDelib[[#This Row],[Team Number]], OfficialTeamList[Team Number],0)))</f>
        <v/>
      </c>
      <c r="N47" s="6">
        <f>IF(ISNA(INDEX(TournamentData[Champion''s Rank],MATCH(MotivateDelib[[#This Row],[Team Number]],TournamentData[Team Number],0))),NumberOfTeams+1,INDEX(TournamentData[Champion''s Rank],MATCH(MotivateDelib[[#This Row],[Team Number]],TournamentData[Team Number],0)))</f>
        <v>1</v>
      </c>
    </row>
    <row r="48" spans="2:15" ht="20.25" customHeight="1" x14ac:dyDescent="0.3">
      <c r="C48" s="6" t="str">
        <f>IF(ISNA(INDEX(OfficialTeamList[Team Name],MATCH(BreakthroughDelib[[#This Row],[Team Number]], OfficialTeamList[Team Number],0))),"",INDEX(OfficialTeamList[Team Name],MATCH(BreakthroughDelib[[#This Row],[Team Number]], OfficialTeamList[Team Number],0)))</f>
        <v/>
      </c>
      <c r="D48" s="6">
        <f>IF(ISNA(INDEX(TournamentData[Champion''s Rank],MATCH(BreakthroughDelib[[#This Row],[Team Number]],TournamentData[Team Number],0))),NumberOfTeams+1,INDEX(TournamentData[Champion''s Rank],MATCH(BreakthroughDelib[[#This Row],[Team Number]],TournamentData[Team Number],0)))</f>
        <v>1</v>
      </c>
      <c r="H48" s="6" t="str">
        <f>IF(ISNA(INDEX(OfficialTeamList[Team Name],MATCH(RookiAllStarDelib[[#This Row],[Team Number]], OfficialTeamList[Team Number],0))),"",INDEX(OfficialTeamList[Team Name],MATCH(RookiAllStarDelib[[#This Row],[Team Number]], OfficialTeamList[Team Number],0)))</f>
        <v/>
      </c>
      <c r="I48" s="6">
        <f>IF(ISNA(INDEX(TournamentData[Champion''s Rank],MATCH(RookiAllStarDelib[[#This Row],[Team Number]],TournamentData[Team Number],0))),NumberOfTeams+1,INDEX(TournamentData[Champion''s Rank],MATCH(RookiAllStarDelib[[#This Row],[Team Number]],TournamentData[Team Number],0)))</f>
        <v>1</v>
      </c>
      <c r="M48" s="6" t="str">
        <f>IF(ISNA(INDEX(OfficialTeamList[Team Name],MATCH(MotivateDelib[[#This Row],[Team Number]], OfficialTeamList[Team Number],0))),"",INDEX(OfficialTeamList[Team Name],MATCH(MotivateDelib[[#This Row],[Team Number]], OfficialTeamList[Team Number],0)))</f>
        <v/>
      </c>
      <c r="N48" s="6">
        <f>IF(ISNA(INDEX(TournamentData[Champion''s Rank],MATCH(MotivateDelib[[#This Row],[Team Number]],TournamentData[Team Number],0))),NumberOfTeams+1,INDEX(TournamentData[Champion''s Rank],MATCH(MotivateDelib[[#This Row],[Team Number]],TournamentData[Team Number],0)))</f>
        <v>1</v>
      </c>
    </row>
    <row r="49" spans="3:14" ht="20.25" customHeight="1" x14ac:dyDescent="0.3">
      <c r="C49" s="6" t="str">
        <f>IF(ISNA(INDEX(OfficialTeamList[Team Name],MATCH(BreakthroughDelib[[#This Row],[Team Number]], OfficialTeamList[Team Number],0))),"",INDEX(OfficialTeamList[Team Name],MATCH(BreakthroughDelib[[#This Row],[Team Number]], OfficialTeamList[Team Number],0)))</f>
        <v/>
      </c>
      <c r="D49" s="6">
        <f>IF(ISNA(INDEX(TournamentData[Champion''s Rank],MATCH(BreakthroughDelib[[#This Row],[Team Number]],TournamentData[Team Number],0))),NumberOfTeams+1,INDEX(TournamentData[Champion''s Rank],MATCH(BreakthroughDelib[[#This Row],[Team Number]],TournamentData[Team Number],0)))</f>
        <v>1</v>
      </c>
      <c r="H49" s="6" t="str">
        <f>IF(ISNA(INDEX(OfficialTeamList[Team Name],MATCH(RookiAllStarDelib[[#This Row],[Team Number]], OfficialTeamList[Team Number],0))),"",INDEX(OfficialTeamList[Team Name],MATCH(RookiAllStarDelib[[#This Row],[Team Number]], OfficialTeamList[Team Number],0)))</f>
        <v/>
      </c>
      <c r="I49" s="6">
        <f>IF(ISNA(INDEX(TournamentData[Champion''s Rank],MATCH(RookiAllStarDelib[[#This Row],[Team Number]],TournamentData[Team Number],0))),NumberOfTeams+1,INDEX(TournamentData[Champion''s Rank],MATCH(RookiAllStarDelib[[#This Row],[Team Number]],TournamentData[Team Number],0)))</f>
        <v>1</v>
      </c>
      <c r="M49" s="6" t="str">
        <f>IF(ISNA(INDEX(OfficialTeamList[Team Name],MATCH(MotivateDelib[[#This Row],[Team Number]], OfficialTeamList[Team Number],0))),"",INDEX(OfficialTeamList[Team Name],MATCH(MotivateDelib[[#This Row],[Team Number]], OfficialTeamList[Team Number],0)))</f>
        <v/>
      </c>
      <c r="N49" s="6">
        <f>IF(ISNA(INDEX(TournamentData[Champion''s Rank],MATCH(MotivateDelib[[#This Row],[Team Number]],TournamentData[Team Number],0))),NumberOfTeams+1,INDEX(TournamentData[Champion''s Rank],MATCH(MotivateDelib[[#This Row],[Team Number]],TournamentData[Team Number],0)))</f>
        <v>1</v>
      </c>
    </row>
    <row r="50" spans="3:14" ht="20.25" customHeight="1" x14ac:dyDescent="0.3">
      <c r="C50" s="6" t="str">
        <f>IF(ISNA(INDEX(OfficialTeamList[Team Name],MATCH(BreakthroughDelib[[#This Row],[Team Number]], OfficialTeamList[Team Number],0))),"",INDEX(OfficialTeamList[Team Name],MATCH(BreakthroughDelib[[#This Row],[Team Number]], OfficialTeamList[Team Number],0)))</f>
        <v/>
      </c>
      <c r="D50" s="6">
        <f>IF(ISNA(INDEX(TournamentData[Champion''s Rank],MATCH(BreakthroughDelib[[#This Row],[Team Number]],TournamentData[Team Number],0))),NumberOfTeams+1,INDEX(TournamentData[Champion''s Rank],MATCH(BreakthroughDelib[[#This Row],[Team Number]],TournamentData[Team Number],0)))</f>
        <v>1</v>
      </c>
      <c r="H50" s="6" t="str">
        <f>IF(ISNA(INDEX(OfficialTeamList[Team Name],MATCH(RookiAllStarDelib[[#This Row],[Team Number]], OfficialTeamList[Team Number],0))),"",INDEX(OfficialTeamList[Team Name],MATCH(RookiAllStarDelib[[#This Row],[Team Number]], OfficialTeamList[Team Number],0)))</f>
        <v/>
      </c>
      <c r="I50" s="6">
        <f>IF(ISNA(INDEX(TournamentData[Champion''s Rank],MATCH(RookiAllStarDelib[[#This Row],[Team Number]],TournamentData[Team Number],0))),NumberOfTeams+1,INDEX(TournamentData[Champion''s Rank],MATCH(RookiAllStarDelib[[#This Row],[Team Number]],TournamentData[Team Number],0)))</f>
        <v>1</v>
      </c>
      <c r="M50" s="6" t="str">
        <f>IF(ISNA(INDEX(OfficialTeamList[Team Name],MATCH(MotivateDelib[[#This Row],[Team Number]], OfficialTeamList[Team Number],0))),"",INDEX(OfficialTeamList[Team Name],MATCH(MotivateDelib[[#This Row],[Team Number]], OfficialTeamList[Team Number],0)))</f>
        <v/>
      </c>
      <c r="N50" s="6">
        <f>IF(ISNA(INDEX(TournamentData[Champion''s Rank],MATCH(MotivateDelib[[#This Row],[Team Number]],TournamentData[Team Number],0))),NumberOfTeams+1,INDEX(TournamentData[Champion''s Rank],MATCH(MotivateDelib[[#This Row],[Team Number]],TournamentData[Team Number],0)))</f>
        <v>1</v>
      </c>
    </row>
    <row r="51" spans="3:14" ht="20.25" customHeight="1" x14ac:dyDescent="0.3">
      <c r="C51" s="6" t="str">
        <f>IF(ISNA(INDEX(OfficialTeamList[Team Name],MATCH(BreakthroughDelib[[#This Row],[Team Number]], OfficialTeamList[Team Number],0))),"",INDEX(OfficialTeamList[Team Name],MATCH(BreakthroughDelib[[#This Row],[Team Number]], OfficialTeamList[Team Number],0)))</f>
        <v/>
      </c>
      <c r="D51" s="6">
        <f>IF(ISNA(INDEX(TournamentData[Champion''s Rank],MATCH(BreakthroughDelib[[#This Row],[Team Number]],TournamentData[Team Number],0))),NumberOfTeams+1,INDEX(TournamentData[Champion''s Rank],MATCH(BreakthroughDelib[[#This Row],[Team Number]],TournamentData[Team Number],0)))</f>
        <v>1</v>
      </c>
      <c r="H51" s="6" t="str">
        <f>IF(ISNA(INDEX(OfficialTeamList[Team Name],MATCH(RookiAllStarDelib[[#This Row],[Team Number]], OfficialTeamList[Team Number],0))),"",INDEX(OfficialTeamList[Team Name],MATCH(RookiAllStarDelib[[#This Row],[Team Number]], OfficialTeamList[Team Number],0)))</f>
        <v/>
      </c>
      <c r="I51" s="6">
        <f>IF(ISNA(INDEX(TournamentData[Champion''s Rank],MATCH(RookiAllStarDelib[[#This Row],[Team Number]],TournamentData[Team Number],0))),NumberOfTeams+1,INDEX(TournamentData[Champion''s Rank],MATCH(RookiAllStarDelib[[#This Row],[Team Number]],TournamentData[Team Number],0)))</f>
        <v>1</v>
      </c>
      <c r="M51" s="6" t="str">
        <f>IF(ISNA(INDEX(OfficialTeamList[Team Name],MATCH(MotivateDelib[[#This Row],[Team Number]], OfficialTeamList[Team Number],0))),"",INDEX(OfficialTeamList[Team Name],MATCH(MotivateDelib[[#This Row],[Team Number]], OfficialTeamList[Team Number],0)))</f>
        <v/>
      </c>
      <c r="N51" s="6">
        <f>IF(ISNA(INDEX(TournamentData[Champion''s Rank],MATCH(MotivateDelib[[#This Row],[Team Number]],TournamentData[Team Number],0))),NumberOfTeams+1,INDEX(TournamentData[Champion''s Rank],MATCH(MotivateDelib[[#This Row],[Team Number]],TournamentData[Team Number],0)))</f>
        <v>1</v>
      </c>
    </row>
    <row r="52" spans="3:14" ht="20.25" customHeight="1" x14ac:dyDescent="0.3">
      <c r="C52" s="6" t="str">
        <f>IF(ISNA(INDEX(OfficialTeamList[Team Name],MATCH(BreakthroughDelib[[#This Row],[Team Number]], OfficialTeamList[Team Number],0))),"",INDEX(OfficialTeamList[Team Name],MATCH(BreakthroughDelib[[#This Row],[Team Number]], OfficialTeamList[Team Number],0)))</f>
        <v/>
      </c>
      <c r="D52" s="6">
        <f>IF(ISNA(INDEX(TournamentData[Champion''s Rank],MATCH(BreakthroughDelib[[#This Row],[Team Number]],TournamentData[Team Number],0))),NumberOfTeams+1,INDEX(TournamentData[Champion''s Rank],MATCH(BreakthroughDelib[[#This Row],[Team Number]],TournamentData[Team Number],0)))</f>
        <v>1</v>
      </c>
      <c r="H52" s="6" t="str">
        <f>IF(ISNA(INDEX(OfficialTeamList[Team Name],MATCH(RookiAllStarDelib[[#This Row],[Team Number]], OfficialTeamList[Team Number],0))),"",INDEX(OfficialTeamList[Team Name],MATCH(RookiAllStarDelib[[#This Row],[Team Number]], OfficialTeamList[Team Number],0)))</f>
        <v/>
      </c>
      <c r="I52" s="6">
        <f>IF(ISNA(INDEX(TournamentData[Champion''s Rank],MATCH(RookiAllStarDelib[[#This Row],[Team Number]],TournamentData[Team Number],0))),NumberOfTeams+1,INDEX(TournamentData[Champion''s Rank],MATCH(RookiAllStarDelib[[#This Row],[Team Number]],TournamentData[Team Number],0)))</f>
        <v>1</v>
      </c>
      <c r="M52" s="6" t="str">
        <f>IF(ISNA(INDEX(OfficialTeamList[Team Name],MATCH(MotivateDelib[[#This Row],[Team Number]], OfficialTeamList[Team Number],0))),"",INDEX(OfficialTeamList[Team Name],MATCH(MotivateDelib[[#This Row],[Team Number]], OfficialTeamList[Team Number],0)))</f>
        <v/>
      </c>
      <c r="N52" s="6">
        <f>IF(ISNA(INDEX(TournamentData[Champion''s Rank],MATCH(MotivateDelib[[#This Row],[Team Number]],TournamentData[Team Number],0))),NumberOfTeams+1,INDEX(TournamentData[Champion''s Rank],MATCH(MotivateDelib[[#This Row],[Team Number]],TournamentData[Team Number],0)))</f>
        <v>1</v>
      </c>
    </row>
    <row r="53" spans="3:14" ht="20.25" customHeight="1" x14ac:dyDescent="0.3">
      <c r="C53" s="6" t="str">
        <f>IF(ISNA(INDEX(OfficialTeamList[Team Name],MATCH(BreakthroughDelib[[#This Row],[Team Number]], OfficialTeamList[Team Number],0))),"",INDEX(OfficialTeamList[Team Name],MATCH(BreakthroughDelib[[#This Row],[Team Number]], OfficialTeamList[Team Number],0)))</f>
        <v/>
      </c>
      <c r="D53" s="6">
        <f>IF(ISNA(INDEX(TournamentData[Champion''s Rank],MATCH(BreakthroughDelib[[#This Row],[Team Number]],TournamentData[Team Number],0))),NumberOfTeams+1,INDEX(TournamentData[Champion''s Rank],MATCH(BreakthroughDelib[[#This Row],[Team Number]],TournamentData[Team Number],0)))</f>
        <v>1</v>
      </c>
      <c r="H53" s="6" t="str">
        <f>IF(ISNA(INDEX(OfficialTeamList[Team Name],MATCH(RookiAllStarDelib[[#This Row],[Team Number]], OfficialTeamList[Team Number],0))),"",INDEX(OfficialTeamList[Team Name],MATCH(RookiAllStarDelib[[#This Row],[Team Number]], OfficialTeamList[Team Number],0)))</f>
        <v/>
      </c>
      <c r="I53" s="6">
        <f>IF(ISNA(INDEX(TournamentData[Champion''s Rank],MATCH(RookiAllStarDelib[[#This Row],[Team Number]],TournamentData[Team Number],0))),NumberOfTeams+1,INDEX(TournamentData[Champion''s Rank],MATCH(RookiAllStarDelib[[#This Row],[Team Number]],TournamentData[Team Number],0)))</f>
        <v>1</v>
      </c>
      <c r="M53" s="6" t="str">
        <f>IF(ISNA(INDEX(OfficialTeamList[Team Name],MATCH(MotivateDelib[[#This Row],[Team Number]], OfficialTeamList[Team Number],0))),"",INDEX(OfficialTeamList[Team Name],MATCH(MotivateDelib[[#This Row],[Team Number]], OfficialTeamList[Team Number],0)))</f>
        <v/>
      </c>
      <c r="N53" s="6">
        <f>IF(ISNA(INDEX(TournamentData[Champion''s Rank],MATCH(MotivateDelib[[#This Row],[Team Number]],TournamentData[Team Number],0))),NumberOfTeams+1,INDEX(TournamentData[Champion''s Rank],MATCH(MotivateDelib[[#This Row],[Team Number]],TournamentData[Team Number],0)))</f>
        <v>1</v>
      </c>
    </row>
    <row r="54" spans="3:14" ht="20.25" customHeight="1" x14ac:dyDescent="0.3">
      <c r="C54" s="6" t="str">
        <f>IF(ISNA(INDEX(OfficialTeamList[Team Name],MATCH(BreakthroughDelib[[#This Row],[Team Number]], OfficialTeamList[Team Number],0))),"",INDEX(OfficialTeamList[Team Name],MATCH(BreakthroughDelib[[#This Row],[Team Number]], OfficialTeamList[Team Number],0)))</f>
        <v/>
      </c>
      <c r="D54" s="6">
        <f>IF(ISNA(INDEX(TournamentData[Champion''s Rank],MATCH(BreakthroughDelib[[#This Row],[Team Number]],TournamentData[Team Number],0))),NumberOfTeams+1,INDEX(TournamentData[Champion''s Rank],MATCH(BreakthroughDelib[[#This Row],[Team Number]],TournamentData[Team Number],0)))</f>
        <v>1</v>
      </c>
      <c r="H54" s="6" t="str">
        <f>IF(ISNA(INDEX(OfficialTeamList[Team Name],MATCH(RookiAllStarDelib[[#This Row],[Team Number]], OfficialTeamList[Team Number],0))),"",INDEX(OfficialTeamList[Team Name],MATCH(RookiAllStarDelib[[#This Row],[Team Number]], OfficialTeamList[Team Number],0)))</f>
        <v/>
      </c>
      <c r="I54" s="6">
        <f>IF(ISNA(INDEX(TournamentData[Champion''s Rank],MATCH(RookiAllStarDelib[[#This Row],[Team Number]],TournamentData[Team Number],0))),NumberOfTeams+1,INDEX(TournamentData[Champion''s Rank],MATCH(RookiAllStarDelib[[#This Row],[Team Number]],TournamentData[Team Number],0)))</f>
        <v>1</v>
      </c>
      <c r="M54" s="6" t="str">
        <f>IF(ISNA(INDEX(OfficialTeamList[Team Name],MATCH(MotivateDelib[[#This Row],[Team Number]], OfficialTeamList[Team Number],0))),"",INDEX(OfficialTeamList[Team Name],MATCH(MotivateDelib[[#This Row],[Team Number]], OfficialTeamList[Team Number],0)))</f>
        <v/>
      </c>
      <c r="N54" s="6">
        <f>IF(ISNA(INDEX(TournamentData[Champion''s Rank],MATCH(MotivateDelib[[#This Row],[Team Number]],TournamentData[Team Number],0))),NumberOfTeams+1,INDEX(TournamentData[Champion''s Rank],MATCH(MotivateDelib[[#This Row],[Team Number]],TournamentData[Team Number],0)))</f>
        <v>1</v>
      </c>
    </row>
  </sheetData>
  <pageMargins left="0.7" right="0.7" top="0.75" bottom="0.75" header="0.3" footer="0.3"/>
  <pageSetup orientation="portrait" horizontalDpi="1200" verticalDpi="1200" r:id="rId1"/>
  <tableParts count="8">
    <tablePart r:id="rId2"/>
    <tablePart r:id="rId3"/>
    <tablePart r:id="rId4"/>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8A997C5561FD94D82BEA37A4242D399" ma:contentTypeVersion="19" ma:contentTypeDescription="Create a new document." ma:contentTypeScope="" ma:versionID="49c35b1cbebdf7d5ef7c03e4c326f4a0">
  <xsd:schema xmlns:xsd="http://www.w3.org/2001/XMLSchema" xmlns:xs="http://www.w3.org/2001/XMLSchema" xmlns:p="http://schemas.microsoft.com/office/2006/metadata/properties" xmlns:ns2="7c8aad47-528b-43f4-b615-4953615f0d4f" xmlns:ns3="c7bc20cd-f3b5-4cb9-9099-b7d1e4c3c983" xmlns:ns4="0bfdc619-4bd5-4a26-8e37-4be4446dc23a" targetNamespace="http://schemas.microsoft.com/office/2006/metadata/properties" ma:root="true" ma:fieldsID="ac3c79351e7596ea8fb91e25ccac0ce8" ns2:_="" ns3:_="" ns4:_="">
    <xsd:import namespace="7c8aad47-528b-43f4-b615-4953615f0d4f"/>
    <xsd:import namespace="c7bc20cd-f3b5-4cb9-9099-b7d1e4c3c983"/>
    <xsd:import namespace="0bfdc619-4bd5-4a26-8e37-4be4446dc23a"/>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LengthInSeconds"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c8aad47-528b-43f4-b615-4953615f0d4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LengthInSeconds" ma:index="15" nillable="true" ma:displayName="Length (seconds)" ma:internalName="MediaLengthInSeconds" ma:readOnly="true">
      <xsd:simpleType>
        <xsd:restriction base="dms:Unknow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f13cef49-2953-4246-9b7f-e3d70b1cf0e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bc20cd-f3b5-4cb9-9099-b7d1e4c3c983"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bfdc619-4bd5-4a26-8e37-4be4446dc23a"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c948275e-acb8-4f67-9f4b-0f18b628c537}" ma:internalName="TaxCatchAll" ma:showField="CatchAllData" ma:web="c7bc20cd-f3b5-4cb9-9099-b7d1e4c3c98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c7bc20cd-f3b5-4cb9-9099-b7d1e4c3c983">
      <UserInfo>
        <DisplayName>Kim Wierman</DisplayName>
        <AccountId>99</AccountId>
        <AccountType/>
      </UserInfo>
    </SharedWithUsers>
    <TaxCatchAll xmlns="0bfdc619-4bd5-4a26-8e37-4be4446dc23a" xsi:nil="true"/>
    <lcf76f155ced4ddcb4097134ff3c332f xmlns="7c8aad47-528b-43f4-b615-4953615f0d4f">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C81C61-67DA-4F23-A713-CC71AD39F5E6}"/>
</file>

<file path=customXml/itemProps2.xml><?xml version="1.0" encoding="utf-8"?>
<ds:datastoreItem xmlns:ds="http://schemas.openxmlformats.org/officeDocument/2006/customXml" ds:itemID="{2CAA38BA-DCDE-4A39-86E3-0FA814CBD440}">
  <ds:schemaRefs>
    <ds:schemaRef ds:uri="http://schemas.microsoft.com/office/2006/documentManagement/types"/>
    <ds:schemaRef ds:uri="http://purl.org/dc/elements/1.1/"/>
    <ds:schemaRef ds:uri="0cc4d2d3-4275-4460-a78e-53f77db7467b"/>
    <ds:schemaRef ds:uri="http://www.w3.org/XML/1998/namespace"/>
    <ds:schemaRef ds:uri="http://schemas.microsoft.com/office/infopath/2007/PartnerControls"/>
    <ds:schemaRef ds:uri="http://purl.org/dc/terms/"/>
    <ds:schemaRef ds:uri="df1a7aae-7847-498f-a3ab-792f4c180d10"/>
    <ds:schemaRef ds:uri="http://schemas.openxmlformats.org/package/2006/metadata/core-properti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B9606A73-DF4C-41A6-91AC-706447FC813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Instructions</vt:lpstr>
      <vt:lpstr>Team and Program Information</vt:lpstr>
      <vt:lpstr>Results and Rankings</vt:lpstr>
      <vt:lpstr>Innovation Project Input</vt:lpstr>
      <vt:lpstr>Robot Design Input</vt:lpstr>
      <vt:lpstr>Robot Game Scores</vt:lpstr>
      <vt:lpstr>Core Values Input</vt:lpstr>
      <vt:lpstr>GP Scores</vt:lpstr>
      <vt:lpstr>Area Deliberations</vt:lpstr>
      <vt:lpstr>CVIPSplit</vt:lpstr>
      <vt:lpstr>CVRDSplit</vt:lpstr>
      <vt:lpstr>GPScores</vt:lpstr>
      <vt:lpstr>NumberOfLanes</vt:lpstr>
      <vt:lpstr>NumberofTeamAdvancing</vt:lpstr>
      <vt:lpstr>NumberOfTeams</vt:lpstr>
      <vt:lpstr>NumberofTeamsAdvancing</vt:lpstr>
      <vt:lpstr>'Core Values Input'!Print_Area</vt:lpstr>
      <vt:lpstr>'Results and Rankings'!Print_Area</vt:lpstr>
      <vt:lpstr>'Results and Rankings'!Print_Titles</vt:lpstr>
    </vt:vector>
  </TitlesOfParts>
  <Manager/>
  <Company>U.S Air Force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Marvin Gridley</dc:creator>
  <cp:keywords/>
  <dc:description/>
  <cp:lastModifiedBy>Anna Sterner</cp:lastModifiedBy>
  <cp:revision/>
  <cp:lastPrinted>2024-05-24T13:15:35Z</cp:lastPrinted>
  <dcterms:created xsi:type="dcterms:W3CDTF">2017-12-04T16:10:19Z</dcterms:created>
  <dcterms:modified xsi:type="dcterms:W3CDTF">2024-07-09T15:23:17Z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